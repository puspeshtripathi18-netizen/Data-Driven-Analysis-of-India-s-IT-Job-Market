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aw_Data" sheetId="1" state="visible" r:id="rId3"/>
    <sheet name="Data_Cleaning" sheetId="2" state="visible" r:id="rId4"/>
    <sheet name="Analysis" sheetId="3" state="visible" r:id="rId5"/>
    <sheet name="Pivot_Summary" sheetId="4" state="visible" r:id="rId6"/>
    <sheet name="Charts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<sst xmlns="http://schemas.openxmlformats.org/spreadsheetml/2006/main" count="798" uniqueCount="412">
  <si>
    <t xml:space="preserve">📊 India IT Job Market – LinkedIn Dataset 2026  |  50 Job Listings  |  Salary in ₹</t>
  </si>
  <si>
    <t xml:space="preserve">Job_ID</t>
  </si>
  <si>
    <t xml:space="preserve">Job Title</t>
  </si>
  <si>
    <t xml:space="preserve">Company</t>
  </si>
  <si>
    <t xml:space="preserve">City</t>
  </si>
  <si>
    <t xml:space="preserve">Employment Type</t>
  </si>
  <si>
    <t xml:space="preserve">Seniority</t>
  </si>
  <si>
    <t xml:space="preserve">Top Skill</t>
  </si>
  <si>
    <t xml:space="preserve">Education</t>
  </si>
  <si>
    <t xml:space="preserve">Salary (₹ LPA)</t>
  </si>
  <si>
    <t xml:space="preserve">Exp (Yrs)</t>
  </si>
  <si>
    <t xml:space="preserve">Applications</t>
  </si>
  <si>
    <t xml:space="preserve">Rating</t>
  </si>
  <si>
    <t xml:space="preserve">Salary Band</t>
  </si>
  <si>
    <t xml:space="preserve">Demand</t>
  </si>
  <si>
    <t xml:space="preserve">JOB-001</t>
  </si>
  <si>
    <t xml:space="preserve">Software Engineer</t>
  </si>
  <si>
    <t xml:space="preserve">TCS</t>
  </si>
  <si>
    <t xml:space="preserve">Bangalore</t>
  </si>
  <si>
    <t xml:space="preserve">Full-Time</t>
  </si>
  <si>
    <t xml:space="preserve">Mid-Level</t>
  </si>
  <si>
    <t xml:space="preserve">Python</t>
  </si>
  <si>
    <t xml:space="preserve">B.Tech</t>
  </si>
  <si>
    <t xml:space="preserve">JOB-002</t>
  </si>
  <si>
    <t xml:space="preserve">Data Analyst</t>
  </si>
  <si>
    <t xml:space="preserve">Infosys</t>
  </si>
  <si>
    <t xml:space="preserve">Hyderabad</t>
  </si>
  <si>
    <t xml:space="preserve">SQL</t>
  </si>
  <si>
    <t xml:space="preserve">JOB-003</t>
  </si>
  <si>
    <t xml:space="preserve">ML Engineer</t>
  </si>
  <si>
    <t xml:space="preserve">Wipro</t>
  </si>
  <si>
    <t xml:space="preserve">Pune</t>
  </si>
  <si>
    <t xml:space="preserve">Senior</t>
  </si>
  <si>
    <t xml:space="preserve">M.Tech</t>
  </si>
  <si>
    <t xml:space="preserve">JOB-004</t>
  </si>
  <si>
    <t xml:space="preserve">Cloud Engineer</t>
  </si>
  <si>
    <t xml:space="preserve">HCL</t>
  </si>
  <si>
    <t xml:space="preserve">Noida</t>
  </si>
  <si>
    <t xml:space="preserve">AWS</t>
  </si>
  <si>
    <t xml:space="preserve">JOB-005</t>
  </si>
  <si>
    <t xml:space="preserve">DevOps Engineer</t>
  </si>
  <si>
    <t xml:space="preserve">Tech Mahindra</t>
  </si>
  <si>
    <t xml:space="preserve">Chennai</t>
  </si>
  <si>
    <t xml:space="preserve">Docker</t>
  </si>
  <si>
    <t xml:space="preserve">JOB-006</t>
  </si>
  <si>
    <t xml:space="preserve">Data Scientist</t>
  </si>
  <si>
    <t xml:space="preserve">Accenture</t>
  </si>
  <si>
    <t xml:space="preserve">JOB-007</t>
  </si>
  <si>
    <t xml:space="preserve">Full Stack Dev</t>
  </si>
  <si>
    <t xml:space="preserve">Capgemini</t>
  </si>
  <si>
    <t xml:space="preserve">Mumbai</t>
  </si>
  <si>
    <t xml:space="preserve">React</t>
  </si>
  <si>
    <t xml:space="preserve">JOB-008</t>
  </si>
  <si>
    <t xml:space="preserve">Cybersecurity Analyst</t>
  </si>
  <si>
    <t xml:space="preserve">IBM</t>
  </si>
  <si>
    <t xml:space="preserve">Delhi</t>
  </si>
  <si>
    <t xml:space="preserve">CISSP</t>
  </si>
  <si>
    <t xml:space="preserve">JOB-009</t>
  </si>
  <si>
    <t xml:space="preserve">Business Analyst</t>
  </si>
  <si>
    <t xml:space="preserve">Cognizant</t>
  </si>
  <si>
    <t xml:space="preserve">MBA</t>
  </si>
  <si>
    <t xml:space="preserve">JOB-010</t>
  </si>
  <si>
    <t xml:space="preserve">Mobile Developer</t>
  </si>
  <si>
    <t xml:space="preserve">Flipkart</t>
  </si>
  <si>
    <t xml:space="preserve">Kotlin</t>
  </si>
  <si>
    <t xml:space="preserve">JOB-011</t>
  </si>
  <si>
    <t xml:space="preserve">AI Engineer</t>
  </si>
  <si>
    <t xml:space="preserve">Google</t>
  </si>
  <si>
    <t xml:space="preserve">JOB-012</t>
  </si>
  <si>
    <t xml:space="preserve">Product Manager</t>
  </si>
  <si>
    <t xml:space="preserve">Amazon</t>
  </si>
  <si>
    <t xml:space="preserve">Agile</t>
  </si>
  <si>
    <t xml:space="preserve">JOB-013</t>
  </si>
  <si>
    <t xml:space="preserve">QA Engineer</t>
  </si>
  <si>
    <t xml:space="preserve">Junior</t>
  </si>
  <si>
    <t xml:space="preserve">Selenium</t>
  </si>
  <si>
    <t xml:space="preserve">JOB-014</t>
  </si>
  <si>
    <t xml:space="preserve">Network Engineer</t>
  </si>
  <si>
    <t xml:space="preserve">Cisco</t>
  </si>
  <si>
    <t xml:space="preserve">CCNA</t>
  </si>
  <si>
    <t xml:space="preserve">JOB-015</t>
  </si>
  <si>
    <t xml:space="preserve">UI/UX Designer</t>
  </si>
  <si>
    <t xml:space="preserve">Zomato</t>
  </si>
  <si>
    <t xml:space="preserve">Figma</t>
  </si>
  <si>
    <t xml:space="preserve">B.Des</t>
  </si>
  <si>
    <t xml:space="preserve">JOB-016</t>
  </si>
  <si>
    <t xml:space="preserve">Data Engineer</t>
  </si>
  <si>
    <t xml:space="preserve">Swiggy</t>
  </si>
  <si>
    <t xml:space="preserve">Spark</t>
  </si>
  <si>
    <t xml:space="preserve">JOB-017</t>
  </si>
  <si>
    <t xml:space="preserve">Backend Developer</t>
  </si>
  <si>
    <t xml:space="preserve">Ola</t>
  </si>
  <si>
    <t xml:space="preserve">Java</t>
  </si>
  <si>
    <t xml:space="preserve">JOB-018</t>
  </si>
  <si>
    <t xml:space="preserve">Cloud Architect</t>
  </si>
  <si>
    <t xml:space="preserve">Microsoft</t>
  </si>
  <si>
    <t xml:space="preserve">Azure</t>
  </si>
  <si>
    <t xml:space="preserve">JOB-019</t>
  </si>
  <si>
    <t xml:space="preserve">Scrum Master</t>
  </si>
  <si>
    <t xml:space="preserve">SAP</t>
  </si>
  <si>
    <t xml:space="preserve">JOB-020</t>
  </si>
  <si>
    <t xml:space="preserve">Mysore</t>
  </si>
  <si>
    <t xml:space="preserve">JOB-021</t>
  </si>
  <si>
    <t xml:space="preserve">Paytm</t>
  </si>
  <si>
    <t xml:space="preserve">JOB-022</t>
  </si>
  <si>
    <t xml:space="preserve">Razorpay</t>
  </si>
  <si>
    <t xml:space="preserve">TensorFlow</t>
  </si>
  <si>
    <t xml:space="preserve">JOB-023</t>
  </si>
  <si>
    <t xml:space="preserve">Myntra</t>
  </si>
  <si>
    <t xml:space="preserve">Kubernetes</t>
  </si>
  <si>
    <t xml:space="preserve">JOB-024</t>
  </si>
  <si>
    <t xml:space="preserve">Freshworks</t>
  </si>
  <si>
    <t xml:space="preserve">Node.js</t>
  </si>
  <si>
    <t xml:space="preserve">JOB-025</t>
  </si>
  <si>
    <t xml:space="preserve">SIEM</t>
  </si>
  <si>
    <t xml:space="preserve">JOB-026</t>
  </si>
  <si>
    <t xml:space="preserve">Deloitte</t>
  </si>
  <si>
    <t xml:space="preserve">Power BI</t>
  </si>
  <si>
    <t xml:space="preserve">JOB-027</t>
  </si>
  <si>
    <t xml:space="preserve">Kolkata</t>
  </si>
  <si>
    <t xml:space="preserve">JOB-028</t>
  </si>
  <si>
    <t xml:space="preserve">PhonePe</t>
  </si>
  <si>
    <t xml:space="preserve">JOB-029</t>
  </si>
  <si>
    <t xml:space="preserve">BYJU'S</t>
  </si>
  <si>
    <t xml:space="preserve">Flutter</t>
  </si>
  <si>
    <t xml:space="preserve">JOB-030</t>
  </si>
  <si>
    <t xml:space="preserve">AI Researcher</t>
  </si>
  <si>
    <t xml:space="preserve">IIT-Bombay</t>
  </si>
  <si>
    <t xml:space="preserve">Contract</t>
  </si>
  <si>
    <t xml:space="preserve">PyTorch</t>
  </si>
  <si>
    <t xml:space="preserve">PhD</t>
  </si>
  <si>
    <t xml:space="preserve">JOB-031</t>
  </si>
  <si>
    <t xml:space="preserve">Cypress</t>
  </si>
  <si>
    <t xml:space="preserve">JOB-032</t>
  </si>
  <si>
    <t xml:space="preserve">Oracle</t>
  </si>
  <si>
    <t xml:space="preserve">OCI</t>
  </si>
  <si>
    <t xml:space="preserve">JOB-033</t>
  </si>
  <si>
    <t xml:space="preserve">Tata Comm</t>
  </si>
  <si>
    <t xml:space="preserve">BGP</t>
  </si>
  <si>
    <t xml:space="preserve">JOB-034</t>
  </si>
  <si>
    <t xml:space="preserve">Nykaa</t>
  </si>
  <si>
    <t xml:space="preserve">JOB-035</t>
  </si>
  <si>
    <t xml:space="preserve">Meesho</t>
  </si>
  <si>
    <t xml:space="preserve">JOB-036</t>
  </si>
  <si>
    <t xml:space="preserve">Adobe</t>
  </si>
  <si>
    <t xml:space="preserve">JOB-037</t>
  </si>
  <si>
    <t xml:space="preserve">Dream11</t>
  </si>
  <si>
    <t xml:space="preserve">Kafka</t>
  </si>
  <si>
    <t xml:space="preserve">JOB-038</t>
  </si>
  <si>
    <t xml:space="preserve">C++</t>
  </si>
  <si>
    <t xml:space="preserve">JOB-039</t>
  </si>
  <si>
    <t xml:space="preserve">Bosch</t>
  </si>
  <si>
    <t xml:space="preserve">SAFe</t>
  </si>
  <si>
    <t xml:space="preserve">JOB-040</t>
  </si>
  <si>
    <t xml:space="preserve">Lenskart</t>
  </si>
  <si>
    <t xml:space="preserve">Excel</t>
  </si>
  <si>
    <t xml:space="preserve">BBA</t>
  </si>
  <si>
    <t xml:space="preserve">JOB-041</t>
  </si>
  <si>
    <t xml:space="preserve">Ola Electric</t>
  </si>
  <si>
    <t xml:space="preserve">JOB-042</t>
  </si>
  <si>
    <t xml:space="preserve">Cars24</t>
  </si>
  <si>
    <t xml:space="preserve">Vue.js</t>
  </si>
  <si>
    <t xml:space="preserve">JOB-043</t>
  </si>
  <si>
    <t xml:space="preserve">BrowserStack</t>
  </si>
  <si>
    <t xml:space="preserve">JOB-044</t>
  </si>
  <si>
    <t xml:space="preserve">Zero Trust</t>
  </si>
  <si>
    <t xml:space="preserve">JOB-045</t>
  </si>
  <si>
    <t xml:space="preserve">Infosys BPM</t>
  </si>
  <si>
    <t xml:space="preserve">Tableau</t>
  </si>
  <si>
    <t xml:space="preserve">JOB-046</t>
  </si>
  <si>
    <t xml:space="preserve">Zoho</t>
  </si>
  <si>
    <t xml:space="preserve">JOB-047</t>
  </si>
  <si>
    <t xml:space="preserve">Mu Sigma</t>
  </si>
  <si>
    <t xml:space="preserve">R</t>
  </si>
  <si>
    <t xml:space="preserve">M.Sc</t>
  </si>
  <si>
    <t xml:space="preserve">JOB-048</t>
  </si>
  <si>
    <t xml:space="preserve">Rackspace</t>
  </si>
  <si>
    <t xml:space="preserve">JOB-049</t>
  </si>
  <si>
    <t xml:space="preserve">ShareChat</t>
  </si>
  <si>
    <t xml:space="preserve">React Native</t>
  </si>
  <si>
    <t xml:space="preserve">JOB-050</t>
  </si>
  <si>
    <t xml:space="preserve">Juspay</t>
  </si>
  <si>
    <t xml:space="preserve">Haskell</t>
  </si>
  <si>
    <t xml:space="preserve">🔧 Data Cleaning &amp; Quality Checks  |  India IT Jobs 2026</t>
  </si>
  <si>
    <t xml:space="preserve">#</t>
  </si>
  <si>
    <t xml:space="preserve">Check</t>
  </si>
  <si>
    <t xml:space="preserve">Formula Used</t>
  </si>
  <si>
    <t xml:space="preserve">Result</t>
  </si>
  <si>
    <t xml:space="preserve">Status</t>
  </si>
  <si>
    <t xml:space="preserve">Action</t>
  </si>
  <si>
    <t xml:space="preserve">Note</t>
  </si>
  <si>
    <t xml:space="preserve">1</t>
  </si>
  <si>
    <t xml:space="preserve">Total Records</t>
  </si>
  <si>
    <t xml:space="preserve">Verified</t>
  </si>
  <si>
    <t xml:space="preserve">Baseline</t>
  </si>
  <si>
    <t xml:space="preserve">2</t>
  </si>
  <si>
    <t xml:space="preserve">Blank Job Titles</t>
  </si>
  <si>
    <t xml:space="preserve">None needed</t>
  </si>
  <si>
    <t xml:space="preserve">Critical</t>
  </si>
  <si>
    <t xml:space="preserve">3</t>
  </si>
  <si>
    <t xml:space="preserve">Blank Salaries</t>
  </si>
  <si>
    <t xml:space="preserve">Key metric</t>
  </si>
  <si>
    <t xml:space="preserve">4</t>
  </si>
  <si>
    <t xml:space="preserve">Negative Salaries</t>
  </si>
  <si>
    <t xml:space="preserve">Remove</t>
  </si>
  <si>
    <t xml:space="preserve">Validation</t>
  </si>
  <si>
    <t xml:space="preserve">5</t>
  </si>
  <si>
    <t xml:space="preserve">Full-Time Count</t>
  </si>
  <si>
    <t xml:space="preserve">✅ Counted</t>
  </si>
  <si>
    <t xml:space="preserve">Filter</t>
  </si>
  <si>
    <t xml:space="preserve">6</t>
  </si>
  <si>
    <t xml:space="preserve">Senior Roles</t>
  </si>
  <si>
    <t xml:space="preserve">7</t>
  </si>
  <si>
    <t xml:space="preserve">Junior Roles</t>
  </si>
  <si>
    <t xml:space="preserve">8</t>
  </si>
  <si>
    <t xml:space="preserve">Mid-Level Roles</t>
  </si>
  <si>
    <t xml:space="preserve">9</t>
  </si>
  <si>
    <t xml:space="preserve">Avg Salary (₹ LPA)</t>
  </si>
  <si>
    <t xml:space="preserve">✅ Calculated</t>
  </si>
  <si>
    <t xml:space="preserve">Reference</t>
  </si>
  <si>
    <t xml:space="preserve">Benchmark</t>
  </si>
  <si>
    <t xml:space="preserve">10</t>
  </si>
  <si>
    <t xml:space="preserve">Max Salary (₹ LPA)</t>
  </si>
  <si>
    <t xml:space="preserve">Outlier</t>
  </si>
  <si>
    <t xml:space="preserve">11</t>
  </si>
  <si>
    <t xml:space="preserve">Min Salary (₹ LPA)</t>
  </si>
  <si>
    <t xml:space="preserve">12</t>
  </si>
  <si>
    <t xml:space="preserve">Avg Applications</t>
  </si>
  <si>
    <t xml:space="preserve">Competition</t>
  </si>
  <si>
    <t xml:space="preserve">13</t>
  </si>
  <si>
    <t xml:space="preserve">Avg Company Rating</t>
  </si>
  <si>
    <t xml:space="preserve">Quality</t>
  </si>
  <si>
    <t xml:space="preserve">14</t>
  </si>
  <si>
    <t xml:space="preserve">High Salary (&gt;30 LPA)</t>
  </si>
  <si>
    <t xml:space="preserve">Premium</t>
  </si>
  <si>
    <t xml:space="preserve">15</t>
  </si>
  <si>
    <t xml:space="preserve">Bangalore Jobs</t>
  </si>
  <si>
    <t xml:space="preserve">📈 Salary &amp; Demand Analysis  |  India IT Jobs 2026  |  Salary in ₹ LPA</t>
  </si>
  <si>
    <t xml:space="preserve">🛠️ Top Skills 2026</t>
  </si>
  <si>
    <t xml:space="preserve">Metric</t>
  </si>
  <si>
    <t xml:space="preserve">Formula Type</t>
  </si>
  <si>
    <t xml:space="preserve">Formula</t>
  </si>
  <si>
    <t xml:space="preserve">Result (₹ LPA)</t>
  </si>
  <si>
    <t xml:space="preserve">Format</t>
  </si>
  <si>
    <t xml:space="preserve">Insight</t>
  </si>
  <si>
    <t xml:space="preserve">Rank</t>
  </si>
  <si>
    <t xml:space="preserve">Skill</t>
  </si>
  <si>
    <t xml:space="preserve">Jobs</t>
  </si>
  <si>
    <t xml:space="preserve">Avg Salary LPA</t>
  </si>
  <si>
    <t xml:space="preserve">Avg Salary – All Roles</t>
  </si>
  <si>
    <t xml:space="preserve">AVERAGE</t>
  </si>
  <si>
    <t xml:space="preserve">0.00</t>
  </si>
  <si>
    <t xml:space="preserve">Market baseline</t>
  </si>
  <si>
    <t xml:space="preserve">Avg Salary – Senior</t>
  </si>
  <si>
    <t xml:space="preserve">AVERAGEIF</t>
  </si>
  <si>
    <t xml:space="preserve">Senior benchmark</t>
  </si>
  <si>
    <t xml:space="preserve">Avg Salary – Mid-Level</t>
  </si>
  <si>
    <t xml:space="preserve">Mid benchmark</t>
  </si>
  <si>
    <t xml:space="preserve">Avg Salary – Junior</t>
  </si>
  <si>
    <t xml:space="preserve">Entry level</t>
  </si>
  <si>
    <t xml:space="preserve">Avg Salary – Full-Time</t>
  </si>
  <si>
    <t xml:space="preserve">FT rate</t>
  </si>
  <si>
    <t xml:space="preserve">Max Salary</t>
  </si>
  <si>
    <t xml:space="preserve">MAX</t>
  </si>
  <si>
    <t xml:space="preserve">Top earner</t>
  </si>
  <si>
    <t xml:space="preserve">Min Salary</t>
  </si>
  <si>
    <t xml:space="preserve">MIN</t>
  </si>
  <si>
    <t xml:space="preserve">Floor salary</t>
  </si>
  <si>
    <t xml:space="preserve">High Salary Jobs (&gt;30 LPA)</t>
  </si>
  <si>
    <t xml:space="preserve">COUNTIF</t>
  </si>
  <si>
    <t xml:space="preserve">0</t>
  </si>
  <si>
    <t xml:space="preserve">Premium count</t>
  </si>
  <si>
    <t xml:space="preserve">Total Applications</t>
  </si>
  <si>
    <t xml:space="preserve">SUM</t>
  </si>
  <si>
    <t xml:space="preserve">#,##0</t>
  </si>
  <si>
    <t xml:space="preserve">Market volume</t>
  </si>
  <si>
    <t xml:space="preserve">Avg Apps – Senior</t>
  </si>
  <si>
    <t xml:space="preserve">0.0</t>
  </si>
  <si>
    <t xml:space="preserve">Senior competition</t>
  </si>
  <si>
    <t xml:space="preserve">SUMIF Apps – Full-Time</t>
  </si>
  <si>
    <t xml:space="preserve">SUMIF</t>
  </si>
  <si>
    <t xml:space="preserve">FT volume</t>
  </si>
  <si>
    <t xml:space="preserve">Bangalore Avg Salary</t>
  </si>
  <si>
    <t xml:space="preserve">City benchmark</t>
  </si>
  <si>
    <t xml:space="preserve">VLOOKUP – AI Engineer Salary</t>
  </si>
  <si>
    <t xml:space="preserve">VLOOKUP</t>
  </si>
  <si>
    <t xml:space="preserve">Role lookup</t>
  </si>
  <si>
    <t xml:space="preserve">Employer quality</t>
  </si>
  <si>
    <t xml:space="preserve">Count Python-skill Jobs</t>
  </si>
  <si>
    <t xml:space="preserve">Top skill count</t>
  </si>
  <si>
    <t xml:space="preserve">📊 Pivot Summary Tables  |  India IT Jobs 2026</t>
  </si>
  <si>
    <t xml:space="preserve">Salary by Seniority</t>
  </si>
  <si>
    <t xml:space="preserve">Avg Salary by Role</t>
  </si>
  <si>
    <t xml:space="preserve">Jobs by City</t>
  </si>
  <si>
    <t xml:space="preserve">Avg Salary (LPA)</t>
  </si>
  <si>
    <t xml:space="preserve"># Jobs</t>
  </si>
  <si>
    <t xml:space="preserve">Count</t>
  </si>
  <si>
    <t xml:space="preserve">AI Engineer/Researcher</t>
  </si>
  <si>
    <t xml:space="preserve">Delhi/Noida</t>
  </si>
  <si>
    <t xml:space="preserve">📊 Charts  |  India IT Jobs 2026  |  Salary in ₹ LPA</t>
  </si>
  <si>
    <t xml:space="preserve">🇮🇳  India IT Job Market Dashboard 2026  |  Skills · Salaries (₹) · Hiring Trends</t>
  </si>
  <si>
    <t xml:space="preserve">Source: Simulated LinkedIn India Job Postings  |  50 IT Roles  |  Salary in ₹ LPA (Lakhs Per Annum)  |  2026</t>
  </si>
  <si>
    <t xml:space="preserve">💼 50
Jobs Posted</t>
  </si>
  <si>
    <t xml:space="preserve">💰 ₹20.5 LPA
Avg Salary</t>
  </si>
  <si>
    <t xml:space="preserve">🏆 ₹60 LPA
Top Salary</t>
  </si>
  <si>
    <t xml:space="preserve">👨‍💻 22
Senior Roles</t>
  </si>
  <si>
    <t xml:space="preserve">🌆 18
Bangalore Jobs</t>
  </si>
  <si>
    <t xml:space="preserve">⭐ 4.2/5
Avg Rating</t>
  </si>
  <si>
    <t xml:space="preserve">🐍 Python
#1 Skill</t>
  </si>
  <si>
    <t xml:space="preserve">💰 Salary by Seniority Level</t>
  </si>
  <si>
    <t xml:space="preserve">🌆 Jobs by City</t>
  </si>
  <si>
    <t xml:space="preserve">Avg Salary</t>
  </si>
  <si>
    <t xml:space="preserve">Min</t>
  </si>
  <si>
    <t xml:space="preserve">Max</t>
  </si>
  <si>
    <t xml:space="preserve">Avg ₹ LPA</t>
  </si>
  <si>
    <t xml:space="preserve">Top Role</t>
  </si>
  <si>
    <t xml:space="preserve">% Share</t>
  </si>
  <si>
    <t xml:space="preserve">Hub?</t>
  </si>
  <si>
    <t xml:space="preserve">₹31.5 LPA</t>
  </si>
  <si>
    <t xml:space="preserve">₹22 LPA</t>
  </si>
  <si>
    <t xml:space="preserve">₹60 LPA</t>
  </si>
  <si>
    <t xml:space="preserve">4.52 ⭐</t>
  </si>
  <si>
    <t xml:space="preserve">🔥🔥🔥</t>
  </si>
  <si>
    <t xml:space="preserve">🏙️ Bangalore</t>
  </si>
  <si>
    <t xml:space="preserve">₹25.4</t>
  </si>
  <si>
    <t xml:space="preserve">36%</t>
  </si>
  <si>
    <t xml:space="preserve">⭐ #1</t>
  </si>
  <si>
    <t xml:space="preserve">₹16.2 LPA</t>
  </si>
  <si>
    <t xml:space="preserve">₹10 LPA</t>
  </si>
  <si>
    <t xml:space="preserve">₹30 LPA</t>
  </si>
  <si>
    <t xml:space="preserve">4.15 ⭐</t>
  </si>
  <si>
    <t xml:space="preserve">🔥🔥</t>
  </si>
  <si>
    <t xml:space="preserve">🏙️ Hyderabad</t>
  </si>
  <si>
    <t xml:space="preserve">₹18.2</t>
  </si>
  <si>
    <t xml:space="preserve">Cloud Eng.</t>
  </si>
  <si>
    <t xml:space="preserve">16%</t>
  </si>
  <si>
    <t xml:space="preserve">⭐ #2</t>
  </si>
  <si>
    <t xml:space="preserve">₹6.5 LPA</t>
  </si>
  <si>
    <t xml:space="preserve">₹5 LPA</t>
  </si>
  <si>
    <t xml:space="preserve">₹8 LPA</t>
  </si>
  <si>
    <t xml:space="preserve">3.65 ⭐</t>
  </si>
  <si>
    <t xml:space="preserve">🔥</t>
  </si>
  <si>
    <t xml:space="preserve">🏙️ Delhi/Noida</t>
  </si>
  <si>
    <t xml:space="preserve">₹14.6</t>
  </si>
  <si>
    <t xml:space="preserve">#3</t>
  </si>
  <si>
    <t xml:space="preserve">🏙️ Mumbai</t>
  </si>
  <si>
    <t xml:space="preserve">₹18.8</t>
  </si>
  <si>
    <t xml:space="preserve">🏙️ Pune</t>
  </si>
  <si>
    <t xml:space="preserve">₹17.0</t>
  </si>
  <si>
    <t xml:space="preserve">DevOps Eng.</t>
  </si>
  <si>
    <t xml:space="preserve">12%</t>
  </si>
  <si>
    <t xml:space="preserve">#5</t>
  </si>
  <si>
    <t xml:space="preserve">🛠️ Top 7 In-Demand Skills  |  India 2026</t>
  </si>
  <si>
    <t xml:space="preserve">💼 Avg Salary by Role (₹ LPA)</t>
  </si>
  <si>
    <t xml:space="preserve">Level</t>
  </si>
  <si>
    <t xml:space="preserve">Growth</t>
  </si>
  <si>
    <t xml:space="preserve">Icon</t>
  </si>
  <si>
    <t xml:space="preserve">Role</t>
  </si>
  <si>
    <t xml:space="preserve">Sr Ratio</t>
  </si>
  <si>
    <t xml:space="preserve">₹28 LPA</t>
  </si>
  <si>
    <t xml:space="preserve">Advanced</t>
  </si>
  <si>
    <t xml:space="preserve">↑ 35%</t>
  </si>
  <si>
    <t xml:space="preserve">🐍</t>
  </si>
  <si>
    <t xml:space="preserve">AI/ML Engineer</t>
  </si>
  <si>
    <t xml:space="preserve">₹40+ LPA</t>
  </si>
  <si>
    <t xml:space="preserve">100%</t>
  </si>
  <si>
    <t xml:space="preserve">₹18 LPA</t>
  </si>
  <si>
    <t xml:space="preserve">Intermediate</t>
  </si>
  <si>
    <t xml:space="preserve">↑ 20%</t>
  </si>
  <si>
    <t xml:space="preserve">🗄️</t>
  </si>
  <si>
    <t xml:space="preserve">₹29 LPA</t>
  </si>
  <si>
    <t xml:space="preserve">75%</t>
  </si>
  <si>
    <t xml:space="preserve">High</t>
  </si>
  <si>
    <t xml:space="preserve">↑ 28%</t>
  </si>
  <si>
    <t xml:space="preserve">☁️</t>
  </si>
  <si>
    <t xml:space="preserve">₹42 LPA</t>
  </si>
  <si>
    <t xml:space="preserve">₹14 LPA</t>
  </si>
  <si>
    <t xml:space="preserve">↑ 15%</t>
  </si>
  <si>
    <t xml:space="preserve">☕</t>
  </si>
  <si>
    <t xml:space="preserve">₹33 LPA</t>
  </si>
  <si>
    <t xml:space="preserve">₹16 LPA</t>
  </si>
  <si>
    <t xml:space="preserve">↑ 22%</t>
  </si>
  <si>
    <t xml:space="preserve">⚛️</t>
  </si>
  <si>
    <t xml:space="preserve">₹34 LPA</t>
  </si>
  <si>
    <t xml:space="preserve">67%</t>
  </si>
  <si>
    <t xml:space="preserve">₹24 LPA</t>
  </si>
  <si>
    <t xml:space="preserve">All levels</t>
  </si>
  <si>
    <t xml:space="preserve">↑ 18%</t>
  </si>
  <si>
    <t xml:space="preserve">🔄</t>
  </si>
  <si>
    <t xml:space="preserve">₹23 LPA</t>
  </si>
  <si>
    <t xml:space="preserve">Medium</t>
  </si>
  <si>
    <t xml:space="preserve">₹35 LPA</t>
  </si>
  <si>
    <t xml:space="preserve">↑ 40%</t>
  </si>
  <si>
    <t xml:space="preserve">🤖</t>
  </si>
  <si>
    <t xml:space="preserve">₹11 LPA</t>
  </si>
  <si>
    <t xml:space="preserve">0%</t>
  </si>
  <si>
    <t xml:space="preserve">₹6 LPA</t>
  </si>
  <si>
    <t xml:space="preserve">Entry</t>
  </si>
  <si>
    <t xml:space="preserve">🔍 Key Insights – India IT Job Market 2026</t>
  </si>
  <si>
    <t xml:space="preserve">💡 Python = #1 Skill</t>
  </si>
  <si>
    <t xml:space="preserve">Python appears in 36% of all job postings, especially for AI, Data Science, and Cloud roles.</t>
  </si>
  <si>
    <t xml:space="preserve">💡 Bangalore Dominates</t>
  </si>
  <si>
    <t xml:space="preserve">Bangalore hosts 36% of all IT jobs with avg salary ₹25.4 LPA — India's Silicon Valley.</t>
  </si>
  <si>
    <t xml:space="preserve">💡 Senior Pay Gap</t>
  </si>
  <si>
    <t xml:space="preserve">Senior roles earn ~5× more than Junior: ₹31.5 LPA vs ₹6.5 LPA — upskilling pays off big.</t>
  </si>
  <si>
    <t xml:space="preserve">💡 AI/ML is Premium</t>
  </si>
  <si>
    <t xml:space="preserve">AI Engineers &amp; Data Scientists average ₹40+ LPA — highest paid roles in India IT.</t>
  </si>
  <si>
    <t xml:space="preserve">💡 High Competition</t>
  </si>
  <si>
    <t xml:space="preserve">QA &amp; Software Eng roles get 300–420 applications per job; AI roles get only 15–36.</t>
  </si>
  <si>
    <t xml:space="preserve">💡 Education Matters</t>
  </si>
  <si>
    <t xml:space="preserve">M.Tech/PhD holders earn ₹30+ LPA avg vs ₹12 LPA for B.Tech-only roles.</t>
  </si>
  <si>
    <t xml:space="preserve">📁 India IT Job Market Dashboard 2026  |  Tool: Microsoft Excel  |  Sheets: Raw_Data · Data_Cleaning · Analysis · Pivot_Summary · Charts · Dashboard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</si>
</sst>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₹#,##0.00&quot; LPA&quot;"/>
    <numFmt numFmtId="166" formatCode="General"/>
    <numFmt numFmtId="167" formatCode="#,##0.00"/>
    <numFmt numFmtId="168" formatCode="0.00"/>
    <numFmt numFmtId="169" formatCode="\₹#,##0&quot; LPA&quot;"/>
    <numFmt numFmtId="170" formatCode="0"/>
    <numFmt numFmtId="171" formatCode="#,##0"/>
    <numFmt numFmtId="172" formatCode="0.0"/>
    <numFmt numFmtId="173" formatCode="0.0&quot;LPA&quot;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0A2342"/>
      <name val="Courier New"/>
      <family val="0"/>
      <charset val="1"/>
    </font>
    <font>
      <b val="true"/>
      <sz val="10"/>
      <color rgb="FF21734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7"/>
      <color rgb="FFFFFFFF"/>
      <name val="Arial"/>
      <family val="0"/>
      <charset val="1"/>
    </font>
    <font>
      <sz val="10"/>
      <color rgb="FFCCCCCC"/>
      <name val="Arial"/>
      <family val="0"/>
      <charset val="1"/>
    </font>
    <font>
      <b val="true"/>
      <sz val="10"/>
      <color rgb="FF0A234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0A2342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A2342"/>
        <bgColor rgb="FF003300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E07B00"/>
        <bgColor rgb="FFDC853E"/>
      </patternFill>
    </fill>
    <fill>
      <patternFill patternType="solid">
        <fgColor rgb="FF217346"/>
        <bgColor rgb="FF0B6623"/>
      </patternFill>
    </fill>
    <fill>
      <patternFill patternType="solid">
        <fgColor rgb="FF1A6EBD"/>
        <bgColor rgb="FF4672A8"/>
      </patternFill>
    </fill>
    <fill>
      <patternFill patternType="solid">
        <fgColor rgb="FF6A0572"/>
        <bgColor rgb="FF800080"/>
      </patternFill>
    </fill>
    <fill>
      <patternFill patternType="solid">
        <fgColor rgb="FFC0392B"/>
        <bgColor rgb="FFAB4744"/>
      </patternFill>
    </fill>
    <fill>
      <patternFill patternType="solid">
        <fgColor rgb="FF0B6623"/>
        <bgColor rgb="FF217346"/>
      </patternFill>
    </fill>
    <fill>
      <patternFill patternType="solid">
        <fgColor rgb="FFD6E8F7"/>
        <bgColor rgb="FFD9EAD3"/>
      </patternFill>
    </fill>
    <fill>
      <patternFill patternType="solid">
        <fgColor rgb="FFFCE5CD"/>
        <bgColor rgb="FFF2F2F2"/>
      </patternFill>
    </fill>
    <fill>
      <patternFill patternType="solid">
        <fgColor rgb="FFD9EAD3"/>
        <bgColor rgb="FFD6E8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0A2342"/>
      </left>
      <right/>
      <top style="medium">
        <color rgb="FF0A2342"/>
      </top>
      <bottom style="medium">
        <color rgb="FF0A2342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6623"/>
      <rgbColor rgb="FF000080"/>
      <rgbColor rgb="FF808000"/>
      <rgbColor rgb="FF800080"/>
      <rgbColor rgb="FF217346"/>
      <rgbColor rgb="FFBFBFBF"/>
      <rgbColor rgb="FF878787"/>
      <rgbColor rgb="FF93A9CE"/>
      <rgbColor rgb="FFAB4744"/>
      <rgbColor rgb="FFF9F9F9"/>
      <rgbColor rgb="FFD6E8F7"/>
      <rgbColor rgb="FF6A0572"/>
      <rgbColor rgb="FFDC853E"/>
      <rgbColor rgb="FF1A6EBD"/>
      <rgbColor rgb="FFCCCCCC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2F2F2"/>
      <rgbColor rgb="FFD9EAD3"/>
      <rgbColor rgb="FFFFFF99"/>
      <rgbColor rgb="FFD9D9D9"/>
      <rgbColor rgb="FFD09493"/>
      <rgbColor rgb="FFCC99FF"/>
      <rgbColor rgb="FFFCE5CD"/>
      <rgbColor rgb="FF4672A8"/>
      <rgbColor rgb="FF33CCCC"/>
      <rgbColor rgb="FF99CC00"/>
      <rgbColor rgb="FFFFD700"/>
      <rgbColor rgb="FFFF9900"/>
      <rgbColor rgb="FFE07B00"/>
      <rgbColor rgb="FF725990"/>
      <rgbColor rgb="FF8AA64F"/>
      <rgbColor rgb="FF0A2342"/>
      <rgbColor rgb="FF4299B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Salary by Seniority (₹ LPA)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Pivot_Summary!B3</c:f>
              <c:strCache>
                <c:ptCount val="1"/>
                <c:pt idx="0">
                  <c:v>Avg Salary (LPA)</c:v>
                </c:pt>
              </c:strCache>
            </c:strRef>
          </c:tx>
          <c:spPr>
            <a:solidFill>
              <a:srgbClr val="1a6e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Pivot_Summary!$A$4:$A$6</c:f>
              <c:strCache>
                <c:ptCount val="3"/>
                <c:pt idx="0">
                  <c:v>Senior</c:v>
                </c:pt>
                <c:pt idx="1">
                  <c:v>Mid-Level</c:v>
                </c:pt>
                <c:pt idx="2">
                  <c:v>Junior</c:v>
                </c:pt>
              </c:strCache>
            </c:strRef>
          </c:cat>
          <c:val>
            <c:numRef>
              <c:f>Pivot_Summary!$B$4:$B$6</c:f>
              <c:numCache>
                <c:formatCode>0.0"LPA"</c:formatCode>
                <c:ptCount val="3"/>
                <c:pt idx="0">
                  <c:v>31.5</c:v>
                </c:pt>
                <c:pt idx="1">
                  <c:v>16.2</c:v>
                </c:pt>
                <c:pt idx="2">
                  <c:v>6.5</c:v>
                </c:pt>
              </c:numCache>
            </c:numRef>
          </c:val>
        </c:ser>
        <c:gapWidth val="150"/>
        <c:overlap val="0"/>
        <c:axId val="99700373"/>
        <c:axId val="99343736"/>
      </c:barChart>
      <c:catAx>
        <c:axId val="997003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Seniority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43736"/>
        <c:crosses val="autoZero"/>
        <c:auto val="1"/>
        <c:lblAlgn val="ctr"/>
        <c:lblOffset val="100"/>
        <c:noMultiLvlLbl val="0"/>
      </c:catAx>
      <c:valAx>
        <c:axId val="993437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LPA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&quot;LPA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003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IT Roles – Avg Salary (₹ LPA)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Pivot_Summary!F3</c:f>
              <c:strCache>
                <c:ptCount val="1"/>
                <c:pt idx="0">
                  <c:v>Avg Salary (LPA)</c:v>
                </c:pt>
              </c:strCache>
            </c:strRef>
          </c:tx>
          <c:spPr>
            <a:solidFill>
              <a:srgbClr val="2173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Pivot_Summary!$E$4:$E$13</c:f>
              <c:strCache>
                <c:ptCount val="10"/>
                <c:pt idx="0">
                  <c:v>AI Engineer/Researcher</c:v>
                </c:pt>
                <c:pt idx="1">
                  <c:v>Data Scientist</c:v>
                </c:pt>
                <c:pt idx="2">
                  <c:v>Cloud Architect</c:v>
                </c:pt>
                <c:pt idx="3">
                  <c:v>ML Engineer</c:v>
                </c:pt>
                <c:pt idx="4">
                  <c:v>Data Engineer</c:v>
                </c:pt>
                <c:pt idx="5">
                  <c:v>Product Manager</c:v>
                </c:pt>
                <c:pt idx="6">
                  <c:v>DevOps Engineer</c:v>
                </c:pt>
                <c:pt idx="7">
                  <c:v>Software Engineer</c:v>
                </c:pt>
                <c:pt idx="8">
                  <c:v>Business Analyst</c:v>
                </c:pt>
                <c:pt idx="9">
                  <c:v>QA Engineer</c:v>
                </c:pt>
              </c:strCache>
            </c:strRef>
          </c:cat>
          <c:val>
            <c:numRef>
              <c:f>Pivot_Summary!$F$4:$F$13</c:f>
              <c:numCache>
                <c:formatCode>0.0"LPA"</c:formatCode>
                <c:ptCount val="10"/>
                <c:pt idx="0">
                  <c:v>48</c:v>
                </c:pt>
                <c:pt idx="1">
                  <c:v>29.3</c:v>
                </c:pt>
                <c:pt idx="2">
                  <c:v>42</c:v>
                </c:pt>
                <c:pt idx="3">
                  <c:v>32</c:v>
                </c:pt>
                <c:pt idx="4">
                  <c:v>34</c:v>
                </c:pt>
                <c:pt idx="5">
                  <c:v>33.5</c:v>
                </c:pt>
                <c:pt idx="6">
                  <c:v>22.7</c:v>
                </c:pt>
                <c:pt idx="7">
                  <c:v>10.5</c:v>
                </c:pt>
                <c:pt idx="8">
                  <c:v>15</c:v>
                </c:pt>
                <c:pt idx="9">
                  <c:v>5.7</c:v>
                </c:pt>
              </c:numCache>
            </c:numRef>
          </c:val>
        </c:ser>
        <c:gapWidth val="150"/>
        <c:overlap val="0"/>
        <c:axId val="3344197"/>
        <c:axId val="6768068"/>
      </c:barChart>
      <c:catAx>
        <c:axId val="334419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Salary LPA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8068"/>
        <c:crosses val="autoZero"/>
        <c:auto val="1"/>
        <c:lblAlgn val="ctr"/>
        <c:lblOffset val="100"/>
        <c:noMultiLvlLbl val="0"/>
      </c:catAx>
      <c:valAx>
        <c:axId val="67680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&quot;LPA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41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Jobs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Pivot_Summary!J3</c:f>
              <c:strCache>
                <c:ptCount val="1"/>
                <c:pt idx="0">
                  <c:v>Jobs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Pivot_Summary!$I$4:$I$11</c:f>
              <c:strCache>
                <c:ptCount val="8"/>
                <c:pt idx="0">
                  <c:v>Bangalore</c:v>
                </c:pt>
                <c:pt idx="1">
                  <c:v>Hyderabad</c:v>
                </c:pt>
                <c:pt idx="2">
                  <c:v>Delhi/Noida</c:v>
                </c:pt>
                <c:pt idx="3">
                  <c:v>Mumbai</c:v>
                </c:pt>
                <c:pt idx="4">
                  <c:v>Pune</c:v>
                </c:pt>
                <c:pt idx="5">
                  <c:v>Chennai</c:v>
                </c:pt>
                <c:pt idx="6">
                  <c:v>Mysore</c:v>
                </c:pt>
                <c:pt idx="7">
                  <c:v>Kolkata</c:v>
                </c:pt>
              </c:strCache>
            </c:strRef>
          </c:cat>
          <c:val>
            <c:numRef>
              <c:f>Pivot_Summary!$J$4:$J$11</c:f>
              <c:numCache>
                <c:formatCode>General</c:formatCode>
                <c:ptCount val="8"/>
                <c:pt idx="0">
                  <c:v>18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8</xdr:col>
      <xdr:colOff>147600</xdr:colOff>
      <xdr:row>20</xdr:row>
      <xdr:rowOff>170640</xdr:rowOff>
    </xdr:to>
    <xdr:graphicFrame>
      <xdr:nvGraphicFramePr>
        <xdr:cNvPr id="0" name="Chart 1"/>
        <xdr:cNvGraphicFramePr/>
      </xdr:nvGraphicFramePr>
      <xdr:xfrm>
        <a:off x="0" y="380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18</xdr:col>
      <xdr:colOff>256320</xdr:colOff>
      <xdr:row>24</xdr:row>
      <xdr:rowOff>128520</xdr:rowOff>
    </xdr:to>
    <xdr:graphicFrame>
      <xdr:nvGraphicFramePr>
        <xdr:cNvPr id="1" name="Chart 2"/>
        <xdr:cNvGraphicFramePr/>
      </xdr:nvGraphicFramePr>
      <xdr:xfrm>
        <a:off x="5503680" y="3808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0</xdr:rowOff>
    </xdr:from>
    <xdr:to>
      <xdr:col>8</xdr:col>
      <xdr:colOff>147600</xdr:colOff>
      <xdr:row>40</xdr:row>
      <xdr:rowOff>170640</xdr:rowOff>
    </xdr:to>
    <xdr:graphicFrame>
      <xdr:nvGraphicFramePr>
        <xdr:cNvPr id="2" name="Chart 3"/>
        <xdr:cNvGraphicFramePr/>
      </xdr:nvGraphicFramePr>
      <xdr:xfrm>
        <a:off x="0" y="419112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EBD"/>
    <pageSetUpPr fitToPage="false"/>
  </sheetPr>
  <dimension ref="A1: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15" hidden="false" customHeight="false" outlineLevel="0" collapsed="false">
      <c r="A3" s="3" t="s">
        <v>15</v>
      </c>
      <c r="B3" s="4" t="s">
        <v>16</v>
      </c>
      <c r="C3" s="4" t="s">
        <v>17</v>
      </c>
      <c r="D3" s="4" t="s">
        <v>18</v>
      </c>
      <c r="E3" s="3" t="s">
        <v>19</v>
      </c>
      <c r="F3" s="3" t="s">
        <v>20</v>
      </c>
      <c r="G3" s="4" t="s">
        <v>21</v>
      </c>
      <c r="H3" s="3" t="s">
        <v>22</v>
      </c>
      <c r="I3" s="5" t="n">
        <v>12</v>
      </c>
      <c r="J3" s="3" t="n">
        <v>3</v>
      </c>
      <c r="K3" s="3" t="n">
        <v>220</v>
      </c>
      <c r="L3" s="3" t="n">
        <v>3.9</v>
      </c>
      <c r="M3" s="3" t="str">
        <f aca="false">IF(I3&gt;=30,"High",IF(I3&gt;=15,"Medium","Low"))</f>
        <v>Low</v>
      </c>
      <c r="N3" s="3" t="str">
        <f aca="false">IF(K3&gt;=300,"Very High",IF(K3&gt;=150,"High",IF(K3&gt;=80,"Medium","Low")))</f>
        <v>High</v>
      </c>
    </row>
    <row r="4" customFormat="false" ht="15" hidden="false" customHeight="false" outlineLevel="0" collapsed="false">
      <c r="A4" s="6" t="s">
        <v>23</v>
      </c>
      <c r="B4" s="7" t="s">
        <v>24</v>
      </c>
      <c r="C4" s="7" t="s">
        <v>25</v>
      </c>
      <c r="D4" s="7" t="s">
        <v>26</v>
      </c>
      <c r="E4" s="6" t="s">
        <v>19</v>
      </c>
      <c r="F4" s="6" t="s">
        <v>20</v>
      </c>
      <c r="G4" s="7" t="s">
        <v>27</v>
      </c>
      <c r="H4" s="6" t="s">
        <v>22</v>
      </c>
      <c r="I4" s="8" t="n">
        <v>10</v>
      </c>
      <c r="J4" s="6" t="n">
        <v>4</v>
      </c>
      <c r="K4" s="6" t="n">
        <v>280</v>
      </c>
      <c r="L4" s="6" t="n">
        <v>4</v>
      </c>
      <c r="M4" s="6" t="str">
        <f aca="false">IF(I4&gt;=30,"High",IF(I4&gt;=15,"Medium","Low"))</f>
        <v>Low</v>
      </c>
      <c r="N4" s="6" t="str">
        <f aca="false">IF(K4&gt;=300,"Very High",IF(K4&gt;=150,"High",IF(K4&gt;=80,"Medium","Low")))</f>
        <v>High</v>
      </c>
    </row>
    <row r="5" customFormat="false" ht="15" hidden="false" customHeight="false" outlineLevel="0" collapsed="false">
      <c r="A5" s="3" t="s">
        <v>28</v>
      </c>
      <c r="B5" s="4" t="s">
        <v>29</v>
      </c>
      <c r="C5" s="4" t="s">
        <v>30</v>
      </c>
      <c r="D5" s="4" t="s">
        <v>31</v>
      </c>
      <c r="E5" s="3" t="s">
        <v>19</v>
      </c>
      <c r="F5" s="3" t="s">
        <v>32</v>
      </c>
      <c r="G5" s="4" t="s">
        <v>21</v>
      </c>
      <c r="H5" s="3" t="s">
        <v>33</v>
      </c>
      <c r="I5" s="5" t="n">
        <v>22</v>
      </c>
      <c r="J5" s="3" t="n">
        <v>5</v>
      </c>
      <c r="K5" s="3" t="n">
        <v>85</v>
      </c>
      <c r="L5" s="3" t="n">
        <v>4.3</v>
      </c>
      <c r="M5" s="3" t="str">
        <f aca="false">IF(I5&gt;=30,"High",IF(I5&gt;=15,"Medium","Low"))</f>
        <v>Medium</v>
      </c>
      <c r="N5" s="3" t="str">
        <f aca="false">IF(K5&gt;=300,"Very High",IF(K5&gt;=150,"High",IF(K5&gt;=80,"Medium","Low")))</f>
        <v>Medium</v>
      </c>
    </row>
    <row r="6" customFormat="false" ht="15" hidden="false" customHeight="false" outlineLevel="0" collapsed="false">
      <c r="A6" s="6" t="s">
        <v>34</v>
      </c>
      <c r="B6" s="7" t="s">
        <v>35</v>
      </c>
      <c r="C6" s="7" t="s">
        <v>36</v>
      </c>
      <c r="D6" s="7" t="s">
        <v>37</v>
      </c>
      <c r="E6" s="6" t="s">
        <v>19</v>
      </c>
      <c r="F6" s="6" t="s">
        <v>20</v>
      </c>
      <c r="G6" s="7" t="s">
        <v>38</v>
      </c>
      <c r="H6" s="6" t="s">
        <v>22</v>
      </c>
      <c r="I6" s="8" t="n">
        <v>15</v>
      </c>
      <c r="J6" s="6" t="n">
        <v>3</v>
      </c>
      <c r="K6" s="6" t="n">
        <v>150</v>
      </c>
      <c r="L6" s="6" t="n">
        <v>4.1</v>
      </c>
      <c r="M6" s="6" t="str">
        <f aca="false">IF(I6&gt;=30,"High",IF(I6&gt;=15,"Medium","Low"))</f>
        <v>Medium</v>
      </c>
      <c r="N6" s="6" t="str">
        <f aca="false">IF(K6&gt;=300,"Very High",IF(K6&gt;=150,"High",IF(K6&gt;=80,"Medium","Low")))</f>
        <v>High</v>
      </c>
    </row>
    <row r="7" customFormat="false" ht="15" hidden="false" customHeight="false" outlineLevel="0" collapsed="false">
      <c r="A7" s="3" t="s">
        <v>39</v>
      </c>
      <c r="B7" s="4" t="s">
        <v>40</v>
      </c>
      <c r="C7" s="4" t="s">
        <v>41</v>
      </c>
      <c r="D7" s="4" t="s">
        <v>42</v>
      </c>
      <c r="E7" s="3" t="s">
        <v>19</v>
      </c>
      <c r="F7" s="3" t="s">
        <v>32</v>
      </c>
      <c r="G7" s="4" t="s">
        <v>43</v>
      </c>
      <c r="H7" s="3" t="s">
        <v>22</v>
      </c>
      <c r="I7" s="5" t="n">
        <v>18</v>
      </c>
      <c r="J7" s="3" t="n">
        <v>5</v>
      </c>
      <c r="K7" s="3" t="n">
        <v>95</v>
      </c>
      <c r="L7" s="3" t="n">
        <v>4.2</v>
      </c>
      <c r="M7" s="3" t="str">
        <f aca="false">IF(I7&gt;=30,"High",IF(I7&gt;=15,"Medium","Low"))</f>
        <v>Medium</v>
      </c>
      <c r="N7" s="3" t="str">
        <f aca="false">IF(K7&gt;=300,"Very High",IF(K7&gt;=150,"High",IF(K7&gt;=80,"Medium","Low")))</f>
        <v>Medium</v>
      </c>
    </row>
    <row r="8" customFormat="false" ht="15" hidden="false" customHeight="false" outlineLevel="0" collapsed="false">
      <c r="A8" s="6" t="s">
        <v>44</v>
      </c>
      <c r="B8" s="7" t="s">
        <v>45</v>
      </c>
      <c r="C8" s="7" t="s">
        <v>46</v>
      </c>
      <c r="D8" s="7" t="s">
        <v>18</v>
      </c>
      <c r="E8" s="6" t="s">
        <v>19</v>
      </c>
      <c r="F8" s="6" t="s">
        <v>32</v>
      </c>
      <c r="G8" s="7" t="s">
        <v>21</v>
      </c>
      <c r="H8" s="6" t="s">
        <v>33</v>
      </c>
      <c r="I8" s="8" t="n">
        <v>28</v>
      </c>
      <c r="J8" s="6" t="n">
        <v>6</v>
      </c>
      <c r="K8" s="6" t="n">
        <v>60</v>
      </c>
      <c r="L8" s="6" t="n">
        <v>4.5</v>
      </c>
      <c r="M8" s="6" t="str">
        <f aca="false">IF(I8&gt;=30,"High",IF(I8&gt;=15,"Medium","Low"))</f>
        <v>Medium</v>
      </c>
      <c r="N8" s="6" t="str">
        <f aca="false">IF(K8&gt;=300,"Very High",IF(K8&gt;=150,"High",IF(K8&gt;=80,"Medium","Low")))</f>
        <v>Low</v>
      </c>
    </row>
    <row r="9" customFormat="false" ht="15" hidden="false" customHeight="false" outlineLevel="0" collapsed="false">
      <c r="A9" s="3" t="s">
        <v>47</v>
      </c>
      <c r="B9" s="4" t="s">
        <v>48</v>
      </c>
      <c r="C9" s="4" t="s">
        <v>49</v>
      </c>
      <c r="D9" s="4" t="s">
        <v>50</v>
      </c>
      <c r="E9" s="3" t="s">
        <v>19</v>
      </c>
      <c r="F9" s="3" t="s">
        <v>20</v>
      </c>
      <c r="G9" s="4" t="s">
        <v>51</v>
      </c>
      <c r="H9" s="3" t="s">
        <v>22</v>
      </c>
      <c r="I9" s="5" t="n">
        <v>13</v>
      </c>
      <c r="J9" s="3" t="n">
        <v>3</v>
      </c>
      <c r="K9" s="3" t="n">
        <v>200</v>
      </c>
      <c r="L9" s="3" t="n">
        <v>3.9</v>
      </c>
      <c r="M9" s="3" t="str">
        <f aca="false">IF(I9&gt;=30,"High",IF(I9&gt;=15,"Medium","Low"))</f>
        <v>Low</v>
      </c>
      <c r="N9" s="3" t="str">
        <f aca="false">IF(K9&gt;=300,"Very High",IF(K9&gt;=150,"High",IF(K9&gt;=80,"Medium","Low")))</f>
        <v>High</v>
      </c>
    </row>
    <row r="10" customFormat="false" ht="15" hidden="false" customHeight="false" outlineLevel="0" collapsed="false">
      <c r="A10" s="6" t="s">
        <v>52</v>
      </c>
      <c r="B10" s="7" t="s">
        <v>53</v>
      </c>
      <c r="C10" s="7" t="s">
        <v>54</v>
      </c>
      <c r="D10" s="7" t="s">
        <v>55</v>
      </c>
      <c r="E10" s="6" t="s">
        <v>19</v>
      </c>
      <c r="F10" s="6" t="s">
        <v>32</v>
      </c>
      <c r="G10" s="7" t="s">
        <v>56</v>
      </c>
      <c r="H10" s="6" t="s">
        <v>22</v>
      </c>
      <c r="I10" s="8" t="n">
        <v>25</v>
      </c>
      <c r="J10" s="6" t="n">
        <v>7</v>
      </c>
      <c r="K10" s="6" t="n">
        <v>70</v>
      </c>
      <c r="L10" s="6" t="n">
        <v>4.4</v>
      </c>
      <c r="M10" s="6" t="str">
        <f aca="false">IF(I10&gt;=30,"High",IF(I10&gt;=15,"Medium","Low"))</f>
        <v>Medium</v>
      </c>
      <c r="N10" s="6" t="str">
        <f aca="false">IF(K10&gt;=300,"Very High",IF(K10&gt;=150,"High",IF(K10&gt;=80,"Medium","Low")))</f>
        <v>Low</v>
      </c>
    </row>
    <row r="11" customFormat="false" ht="15" hidden="false" customHeight="false" outlineLevel="0" collapsed="false">
      <c r="A11" s="3" t="s">
        <v>57</v>
      </c>
      <c r="B11" s="4" t="s">
        <v>58</v>
      </c>
      <c r="C11" s="4" t="s">
        <v>59</v>
      </c>
      <c r="D11" s="4" t="s">
        <v>26</v>
      </c>
      <c r="E11" s="3" t="s">
        <v>19</v>
      </c>
      <c r="F11" s="3" t="s">
        <v>20</v>
      </c>
      <c r="G11" s="4" t="s">
        <v>27</v>
      </c>
      <c r="H11" s="3" t="s">
        <v>60</v>
      </c>
      <c r="I11" s="5" t="n">
        <v>11</v>
      </c>
      <c r="J11" s="3" t="n">
        <v>3</v>
      </c>
      <c r="K11" s="3" t="n">
        <v>190</v>
      </c>
      <c r="L11" s="3" t="n">
        <v>4</v>
      </c>
      <c r="M11" s="3" t="str">
        <f aca="false">IF(I11&gt;=30,"High",IF(I11&gt;=15,"Medium","Low"))</f>
        <v>Low</v>
      </c>
      <c r="N11" s="3" t="str">
        <f aca="false">IF(K11&gt;=300,"Very High",IF(K11&gt;=150,"High",IF(K11&gt;=80,"Medium","Low")))</f>
        <v>High</v>
      </c>
    </row>
    <row r="12" customFormat="false" ht="15" hidden="false" customHeight="false" outlineLevel="0" collapsed="false">
      <c r="A12" s="6" t="s">
        <v>61</v>
      </c>
      <c r="B12" s="7" t="s">
        <v>62</v>
      </c>
      <c r="C12" s="7" t="s">
        <v>63</v>
      </c>
      <c r="D12" s="7" t="s">
        <v>18</v>
      </c>
      <c r="E12" s="6" t="s">
        <v>19</v>
      </c>
      <c r="F12" s="6" t="s">
        <v>32</v>
      </c>
      <c r="G12" s="7" t="s">
        <v>64</v>
      </c>
      <c r="H12" s="6" t="s">
        <v>22</v>
      </c>
      <c r="I12" s="8" t="n">
        <v>24</v>
      </c>
      <c r="J12" s="6" t="n">
        <v>5</v>
      </c>
      <c r="K12" s="6" t="n">
        <v>75</v>
      </c>
      <c r="L12" s="6" t="n">
        <v>4.5</v>
      </c>
      <c r="M12" s="6" t="str">
        <f aca="false">IF(I12&gt;=30,"High",IF(I12&gt;=15,"Medium","Low"))</f>
        <v>Medium</v>
      </c>
      <c r="N12" s="6" t="str">
        <f aca="false">IF(K12&gt;=300,"Very High",IF(K12&gt;=150,"High",IF(K12&gt;=80,"Medium","Low")))</f>
        <v>Low</v>
      </c>
    </row>
    <row r="13" customFormat="false" ht="15" hidden="false" customHeight="false" outlineLevel="0" collapsed="false">
      <c r="A13" s="3" t="s">
        <v>65</v>
      </c>
      <c r="B13" s="4" t="s">
        <v>66</v>
      </c>
      <c r="C13" s="4" t="s">
        <v>67</v>
      </c>
      <c r="D13" s="4" t="s">
        <v>26</v>
      </c>
      <c r="E13" s="3" t="s">
        <v>19</v>
      </c>
      <c r="F13" s="3" t="s">
        <v>32</v>
      </c>
      <c r="G13" s="4" t="s">
        <v>21</v>
      </c>
      <c r="H13" s="3" t="s">
        <v>33</v>
      </c>
      <c r="I13" s="5" t="n">
        <v>45</v>
      </c>
      <c r="J13" s="3" t="n">
        <v>4</v>
      </c>
      <c r="K13" s="3" t="n">
        <v>30</v>
      </c>
      <c r="L13" s="3" t="n">
        <v>4.8</v>
      </c>
      <c r="M13" s="3" t="str">
        <f aca="false">IF(I13&gt;=30,"High",IF(I13&gt;=15,"Medium","Low"))</f>
        <v>High</v>
      </c>
      <c r="N13" s="3" t="str">
        <f aca="false">IF(K13&gt;=300,"Very High",IF(K13&gt;=150,"High",IF(K13&gt;=80,"Medium","Low")))</f>
        <v>Low</v>
      </c>
    </row>
    <row r="14" customFormat="false" ht="15" hidden="false" customHeight="false" outlineLevel="0" collapsed="false">
      <c r="A14" s="6" t="s">
        <v>68</v>
      </c>
      <c r="B14" s="7" t="s">
        <v>69</v>
      </c>
      <c r="C14" s="7" t="s">
        <v>70</v>
      </c>
      <c r="D14" s="7" t="s">
        <v>18</v>
      </c>
      <c r="E14" s="6" t="s">
        <v>19</v>
      </c>
      <c r="F14" s="6" t="s">
        <v>32</v>
      </c>
      <c r="G14" s="7" t="s">
        <v>71</v>
      </c>
      <c r="H14" s="6" t="s">
        <v>60</v>
      </c>
      <c r="I14" s="8" t="n">
        <v>35</v>
      </c>
      <c r="J14" s="6" t="n">
        <v>6</v>
      </c>
      <c r="K14" s="6" t="n">
        <v>40</v>
      </c>
      <c r="L14" s="6" t="n">
        <v>4.7</v>
      </c>
      <c r="M14" s="6" t="str">
        <f aca="false">IF(I14&gt;=30,"High",IF(I14&gt;=15,"Medium","Low"))</f>
        <v>High</v>
      </c>
      <c r="N14" s="6" t="str">
        <f aca="false">IF(K14&gt;=300,"Very High",IF(K14&gt;=150,"High",IF(K14&gt;=80,"Medium","Low")))</f>
        <v>Low</v>
      </c>
    </row>
    <row r="15" customFormat="false" ht="15" hidden="false" customHeight="false" outlineLevel="0" collapsed="false">
      <c r="A15" s="3" t="s">
        <v>72</v>
      </c>
      <c r="B15" s="4" t="s">
        <v>73</v>
      </c>
      <c r="C15" s="4" t="s">
        <v>17</v>
      </c>
      <c r="D15" s="4" t="s">
        <v>42</v>
      </c>
      <c r="E15" s="3" t="s">
        <v>19</v>
      </c>
      <c r="F15" s="3" t="s">
        <v>74</v>
      </c>
      <c r="G15" s="4" t="s">
        <v>75</v>
      </c>
      <c r="H15" s="3" t="s">
        <v>22</v>
      </c>
      <c r="I15" s="5" t="n">
        <v>6</v>
      </c>
      <c r="J15" s="3" t="n">
        <v>1</v>
      </c>
      <c r="K15" s="3" t="n">
        <v>400</v>
      </c>
      <c r="L15" s="3" t="n">
        <v>3.6</v>
      </c>
      <c r="M15" s="3" t="str">
        <f aca="false">IF(I15&gt;=30,"High",IF(I15&gt;=15,"Medium","Low"))</f>
        <v>Low</v>
      </c>
      <c r="N15" s="3" t="str">
        <f aca="false">IF(K15&gt;=300,"Very High",IF(K15&gt;=150,"High",IF(K15&gt;=80,"Medium","Low")))</f>
        <v>Very High</v>
      </c>
    </row>
    <row r="16" customFormat="false" ht="15" hidden="false" customHeight="false" outlineLevel="0" collapsed="false">
      <c r="A16" s="6" t="s">
        <v>76</v>
      </c>
      <c r="B16" s="7" t="s">
        <v>77</v>
      </c>
      <c r="C16" s="7" t="s">
        <v>78</v>
      </c>
      <c r="D16" s="7" t="s">
        <v>31</v>
      </c>
      <c r="E16" s="6" t="s">
        <v>19</v>
      </c>
      <c r="F16" s="6" t="s">
        <v>20</v>
      </c>
      <c r="G16" s="7" t="s">
        <v>79</v>
      </c>
      <c r="H16" s="6" t="s">
        <v>22</v>
      </c>
      <c r="I16" s="8" t="n">
        <v>14</v>
      </c>
      <c r="J16" s="6" t="n">
        <v>4</v>
      </c>
      <c r="K16" s="6" t="n">
        <v>120</v>
      </c>
      <c r="L16" s="6" t="n">
        <v>4.1</v>
      </c>
      <c r="M16" s="6" t="str">
        <f aca="false">IF(I16&gt;=30,"High",IF(I16&gt;=15,"Medium","Low"))</f>
        <v>Low</v>
      </c>
      <c r="N16" s="6" t="str">
        <f aca="false">IF(K16&gt;=300,"Very High",IF(K16&gt;=150,"High",IF(K16&gt;=80,"Medium","Low")))</f>
        <v>Medium</v>
      </c>
    </row>
    <row r="17" customFormat="false" ht="15" hidden="false" customHeight="false" outlineLevel="0" collapsed="false">
      <c r="A17" s="3" t="s">
        <v>80</v>
      </c>
      <c r="B17" s="4" t="s">
        <v>81</v>
      </c>
      <c r="C17" s="4" t="s">
        <v>82</v>
      </c>
      <c r="D17" s="4" t="s">
        <v>37</v>
      </c>
      <c r="E17" s="3" t="s">
        <v>19</v>
      </c>
      <c r="F17" s="3" t="s">
        <v>20</v>
      </c>
      <c r="G17" s="4" t="s">
        <v>83</v>
      </c>
      <c r="H17" s="3" t="s">
        <v>84</v>
      </c>
      <c r="I17" s="5" t="n">
        <v>16</v>
      </c>
      <c r="J17" s="3" t="n">
        <v>4</v>
      </c>
      <c r="K17" s="3" t="n">
        <v>110</v>
      </c>
      <c r="L17" s="3" t="n">
        <v>4.2</v>
      </c>
      <c r="M17" s="3" t="str">
        <f aca="false">IF(I17&gt;=30,"High",IF(I17&gt;=15,"Medium","Low"))</f>
        <v>Medium</v>
      </c>
      <c r="N17" s="3" t="str">
        <f aca="false">IF(K17&gt;=300,"Very High",IF(K17&gt;=150,"High",IF(K17&gt;=80,"Medium","Low")))</f>
        <v>Medium</v>
      </c>
    </row>
    <row r="18" customFormat="false" ht="15" hidden="false" customHeight="false" outlineLevel="0" collapsed="false">
      <c r="A18" s="6" t="s">
        <v>85</v>
      </c>
      <c r="B18" s="7" t="s">
        <v>86</v>
      </c>
      <c r="C18" s="7" t="s">
        <v>87</v>
      </c>
      <c r="D18" s="7" t="s">
        <v>18</v>
      </c>
      <c r="E18" s="6" t="s">
        <v>19</v>
      </c>
      <c r="F18" s="6" t="s">
        <v>32</v>
      </c>
      <c r="G18" s="7" t="s">
        <v>88</v>
      </c>
      <c r="H18" s="6" t="s">
        <v>33</v>
      </c>
      <c r="I18" s="8" t="n">
        <v>30</v>
      </c>
      <c r="J18" s="6" t="n">
        <v>5</v>
      </c>
      <c r="K18" s="6" t="n">
        <v>55</v>
      </c>
      <c r="L18" s="6" t="n">
        <v>4.6</v>
      </c>
      <c r="M18" s="6" t="str">
        <f aca="false">IF(I18&gt;=30,"High",IF(I18&gt;=15,"Medium","Low"))</f>
        <v>High</v>
      </c>
      <c r="N18" s="6" t="str">
        <f aca="false">IF(K18&gt;=300,"Very High",IF(K18&gt;=150,"High",IF(K18&gt;=80,"Medium","Low")))</f>
        <v>Low</v>
      </c>
    </row>
    <row r="19" customFormat="false" ht="15" hidden="false" customHeight="false" outlineLevel="0" collapsed="false">
      <c r="A19" s="3" t="s">
        <v>89</v>
      </c>
      <c r="B19" s="4" t="s">
        <v>90</v>
      </c>
      <c r="C19" s="4" t="s">
        <v>91</v>
      </c>
      <c r="D19" s="4" t="s">
        <v>18</v>
      </c>
      <c r="E19" s="3" t="s">
        <v>19</v>
      </c>
      <c r="F19" s="3" t="s">
        <v>20</v>
      </c>
      <c r="G19" s="4" t="s">
        <v>92</v>
      </c>
      <c r="H19" s="3" t="s">
        <v>22</v>
      </c>
      <c r="I19" s="5" t="n">
        <v>17</v>
      </c>
      <c r="J19" s="3" t="n">
        <v>4</v>
      </c>
      <c r="K19" s="3" t="n">
        <v>130</v>
      </c>
      <c r="L19" s="3" t="n">
        <v>4.1</v>
      </c>
      <c r="M19" s="3" t="str">
        <f aca="false">IF(I19&gt;=30,"High",IF(I19&gt;=15,"Medium","Low"))</f>
        <v>Medium</v>
      </c>
      <c r="N19" s="3" t="str">
        <f aca="false">IF(K19&gt;=300,"Very High",IF(K19&gt;=150,"High",IF(K19&gt;=80,"Medium","Low")))</f>
        <v>Medium</v>
      </c>
    </row>
    <row r="20" customFormat="false" ht="15" hidden="false" customHeight="false" outlineLevel="0" collapsed="false">
      <c r="A20" s="6" t="s">
        <v>93</v>
      </c>
      <c r="B20" s="7" t="s">
        <v>94</v>
      </c>
      <c r="C20" s="7" t="s">
        <v>95</v>
      </c>
      <c r="D20" s="7" t="s">
        <v>26</v>
      </c>
      <c r="E20" s="6" t="s">
        <v>19</v>
      </c>
      <c r="F20" s="6" t="s">
        <v>32</v>
      </c>
      <c r="G20" s="7" t="s">
        <v>96</v>
      </c>
      <c r="H20" s="6" t="s">
        <v>33</v>
      </c>
      <c r="I20" s="8" t="n">
        <v>42</v>
      </c>
      <c r="J20" s="6" t="n">
        <v>8</v>
      </c>
      <c r="K20" s="6" t="n">
        <v>25</v>
      </c>
      <c r="L20" s="6" t="n">
        <v>4.8</v>
      </c>
      <c r="M20" s="6" t="str">
        <f aca="false">IF(I20&gt;=30,"High",IF(I20&gt;=15,"Medium","Low"))</f>
        <v>High</v>
      </c>
      <c r="N20" s="6" t="str">
        <f aca="false">IF(K20&gt;=300,"Very High",IF(K20&gt;=150,"High",IF(K20&gt;=80,"Medium","Low")))</f>
        <v>Low</v>
      </c>
    </row>
    <row r="21" customFormat="false" ht="15" hidden="false" customHeight="false" outlineLevel="0" collapsed="false">
      <c r="A21" s="3" t="s">
        <v>97</v>
      </c>
      <c r="B21" s="4" t="s">
        <v>98</v>
      </c>
      <c r="C21" s="4" t="s">
        <v>99</v>
      </c>
      <c r="D21" s="4" t="s">
        <v>18</v>
      </c>
      <c r="E21" s="3" t="s">
        <v>19</v>
      </c>
      <c r="F21" s="3" t="s">
        <v>32</v>
      </c>
      <c r="G21" s="4" t="s">
        <v>71</v>
      </c>
      <c r="H21" s="3" t="s">
        <v>60</v>
      </c>
      <c r="I21" s="5" t="n">
        <v>26</v>
      </c>
      <c r="J21" s="3" t="n">
        <v>6</v>
      </c>
      <c r="K21" s="3" t="n">
        <v>65</v>
      </c>
      <c r="L21" s="3" t="n">
        <v>4.3</v>
      </c>
      <c r="M21" s="3" t="str">
        <f aca="false">IF(I21&gt;=30,"High",IF(I21&gt;=15,"Medium","Low"))</f>
        <v>Medium</v>
      </c>
      <c r="N21" s="3" t="str">
        <f aca="false">IF(K21&gt;=300,"Very High",IF(K21&gt;=150,"High",IF(K21&gt;=80,"Medium","Low")))</f>
        <v>Low</v>
      </c>
    </row>
    <row r="22" customFormat="false" ht="15" hidden="false" customHeight="false" outlineLevel="0" collapsed="false">
      <c r="A22" s="6" t="s">
        <v>100</v>
      </c>
      <c r="B22" s="7" t="s">
        <v>16</v>
      </c>
      <c r="C22" s="7" t="s">
        <v>25</v>
      </c>
      <c r="D22" s="7" t="s">
        <v>101</v>
      </c>
      <c r="E22" s="6" t="s">
        <v>19</v>
      </c>
      <c r="F22" s="6" t="s">
        <v>74</v>
      </c>
      <c r="G22" s="7" t="s">
        <v>92</v>
      </c>
      <c r="H22" s="6" t="s">
        <v>22</v>
      </c>
      <c r="I22" s="8" t="n">
        <v>7</v>
      </c>
      <c r="J22" s="6" t="n">
        <v>1</v>
      </c>
      <c r="K22" s="6" t="n">
        <v>350</v>
      </c>
      <c r="L22" s="6" t="n">
        <v>3.7</v>
      </c>
      <c r="M22" s="6" t="str">
        <f aca="false">IF(I22&gt;=30,"High",IF(I22&gt;=15,"Medium","Low"))</f>
        <v>Low</v>
      </c>
      <c r="N22" s="6" t="str">
        <f aca="false">IF(K22&gt;=300,"Very High",IF(K22&gt;=150,"High",IF(K22&gt;=80,"Medium","Low")))</f>
        <v>Very High</v>
      </c>
    </row>
    <row r="23" customFormat="false" ht="15" hidden="false" customHeight="false" outlineLevel="0" collapsed="false">
      <c r="A23" s="3" t="s">
        <v>102</v>
      </c>
      <c r="B23" s="4" t="s">
        <v>24</v>
      </c>
      <c r="C23" s="4" t="s">
        <v>103</v>
      </c>
      <c r="D23" s="4" t="s">
        <v>55</v>
      </c>
      <c r="E23" s="3" t="s">
        <v>19</v>
      </c>
      <c r="F23" s="3" t="s">
        <v>20</v>
      </c>
      <c r="G23" s="4" t="s">
        <v>21</v>
      </c>
      <c r="H23" s="3" t="s">
        <v>22</v>
      </c>
      <c r="I23" s="5" t="n">
        <v>13</v>
      </c>
      <c r="J23" s="3" t="n">
        <v>3</v>
      </c>
      <c r="K23" s="3" t="n">
        <v>175</v>
      </c>
      <c r="L23" s="3" t="n">
        <v>4</v>
      </c>
      <c r="M23" s="3" t="str">
        <f aca="false">IF(I23&gt;=30,"High",IF(I23&gt;=15,"Medium","Low"))</f>
        <v>Low</v>
      </c>
      <c r="N23" s="3" t="str">
        <f aca="false">IF(K23&gt;=300,"Very High",IF(K23&gt;=150,"High",IF(K23&gt;=80,"Medium","Low")))</f>
        <v>High</v>
      </c>
    </row>
    <row r="24" customFormat="false" ht="15" hidden="false" customHeight="false" outlineLevel="0" collapsed="false">
      <c r="A24" s="6" t="s">
        <v>104</v>
      </c>
      <c r="B24" s="7" t="s">
        <v>29</v>
      </c>
      <c r="C24" s="7" t="s">
        <v>105</v>
      </c>
      <c r="D24" s="7" t="s">
        <v>18</v>
      </c>
      <c r="E24" s="6" t="s">
        <v>19</v>
      </c>
      <c r="F24" s="6" t="s">
        <v>32</v>
      </c>
      <c r="G24" s="7" t="s">
        <v>106</v>
      </c>
      <c r="H24" s="6" t="s">
        <v>33</v>
      </c>
      <c r="I24" s="8" t="n">
        <v>35</v>
      </c>
      <c r="J24" s="6" t="n">
        <v>5</v>
      </c>
      <c r="K24" s="6" t="n">
        <v>42</v>
      </c>
      <c r="L24" s="6" t="n">
        <v>4.7</v>
      </c>
      <c r="M24" s="6" t="str">
        <f aca="false">IF(I24&gt;=30,"High",IF(I24&gt;=15,"Medium","Low"))</f>
        <v>High</v>
      </c>
      <c r="N24" s="6" t="str">
        <f aca="false">IF(K24&gt;=300,"Very High",IF(K24&gt;=150,"High",IF(K24&gt;=80,"Medium","Low")))</f>
        <v>Low</v>
      </c>
    </row>
    <row r="25" customFormat="false" ht="15" hidden="false" customHeight="false" outlineLevel="0" collapsed="false">
      <c r="A25" s="3" t="s">
        <v>107</v>
      </c>
      <c r="B25" s="4" t="s">
        <v>40</v>
      </c>
      <c r="C25" s="4" t="s">
        <v>108</v>
      </c>
      <c r="D25" s="4" t="s">
        <v>18</v>
      </c>
      <c r="E25" s="3" t="s">
        <v>19</v>
      </c>
      <c r="F25" s="3" t="s">
        <v>20</v>
      </c>
      <c r="G25" s="4" t="s">
        <v>109</v>
      </c>
      <c r="H25" s="3" t="s">
        <v>22</v>
      </c>
      <c r="I25" s="5" t="n">
        <v>20</v>
      </c>
      <c r="J25" s="3" t="n">
        <v>4</v>
      </c>
      <c r="K25" s="3" t="n">
        <v>88</v>
      </c>
      <c r="L25" s="3" t="n">
        <v>4.3</v>
      </c>
      <c r="M25" s="3" t="str">
        <f aca="false">IF(I25&gt;=30,"High",IF(I25&gt;=15,"Medium","Low"))</f>
        <v>Medium</v>
      </c>
      <c r="N25" s="3" t="str">
        <f aca="false">IF(K25&gt;=300,"Very High",IF(K25&gt;=150,"High",IF(K25&gt;=80,"Medium","Low")))</f>
        <v>Medium</v>
      </c>
    </row>
    <row r="26" customFormat="false" ht="15" hidden="false" customHeight="false" outlineLevel="0" collapsed="false">
      <c r="A26" s="6" t="s">
        <v>110</v>
      </c>
      <c r="B26" s="7" t="s">
        <v>48</v>
      </c>
      <c r="C26" s="7" t="s">
        <v>111</v>
      </c>
      <c r="D26" s="7" t="s">
        <v>42</v>
      </c>
      <c r="E26" s="6" t="s">
        <v>19</v>
      </c>
      <c r="F26" s="6" t="s">
        <v>20</v>
      </c>
      <c r="G26" s="7" t="s">
        <v>112</v>
      </c>
      <c r="H26" s="6" t="s">
        <v>22</v>
      </c>
      <c r="I26" s="8" t="n">
        <v>18</v>
      </c>
      <c r="J26" s="6" t="n">
        <v>4</v>
      </c>
      <c r="K26" s="6" t="n">
        <v>105</v>
      </c>
      <c r="L26" s="6" t="n">
        <v>4.2</v>
      </c>
      <c r="M26" s="6" t="str">
        <f aca="false">IF(I26&gt;=30,"High",IF(I26&gt;=15,"Medium","Low"))</f>
        <v>Medium</v>
      </c>
      <c r="N26" s="6" t="str">
        <f aca="false">IF(K26&gt;=300,"Very High",IF(K26&gt;=150,"High",IF(K26&gt;=80,"Medium","Low")))</f>
        <v>Medium</v>
      </c>
    </row>
    <row r="27" customFormat="false" ht="15" hidden="false" customHeight="false" outlineLevel="0" collapsed="false">
      <c r="A27" s="3" t="s">
        <v>113</v>
      </c>
      <c r="B27" s="4" t="s">
        <v>53</v>
      </c>
      <c r="C27" s="4" t="s">
        <v>30</v>
      </c>
      <c r="D27" s="4" t="s">
        <v>31</v>
      </c>
      <c r="E27" s="3" t="s">
        <v>19</v>
      </c>
      <c r="F27" s="3" t="s">
        <v>20</v>
      </c>
      <c r="G27" s="4" t="s">
        <v>114</v>
      </c>
      <c r="H27" s="3" t="s">
        <v>22</v>
      </c>
      <c r="I27" s="5" t="n">
        <v>16</v>
      </c>
      <c r="J27" s="3" t="n">
        <v>4</v>
      </c>
      <c r="K27" s="3" t="n">
        <v>100</v>
      </c>
      <c r="L27" s="3" t="n">
        <v>4</v>
      </c>
      <c r="M27" s="3" t="str">
        <f aca="false">IF(I27&gt;=30,"High",IF(I27&gt;=15,"Medium","Low"))</f>
        <v>Medium</v>
      </c>
      <c r="N27" s="3" t="str">
        <f aca="false">IF(K27&gt;=300,"Very High",IF(K27&gt;=150,"High",IF(K27&gt;=80,"Medium","Low")))</f>
        <v>Medium</v>
      </c>
    </row>
    <row r="28" customFormat="false" ht="15" hidden="false" customHeight="false" outlineLevel="0" collapsed="false">
      <c r="A28" s="6" t="s">
        <v>115</v>
      </c>
      <c r="B28" s="7" t="s">
        <v>58</v>
      </c>
      <c r="C28" s="7" t="s">
        <v>116</v>
      </c>
      <c r="D28" s="7" t="s">
        <v>50</v>
      </c>
      <c r="E28" s="6" t="s">
        <v>19</v>
      </c>
      <c r="F28" s="6" t="s">
        <v>32</v>
      </c>
      <c r="G28" s="7" t="s">
        <v>117</v>
      </c>
      <c r="H28" s="6" t="s">
        <v>60</v>
      </c>
      <c r="I28" s="8" t="n">
        <v>22</v>
      </c>
      <c r="J28" s="6" t="n">
        <v>5</v>
      </c>
      <c r="K28" s="6" t="n">
        <v>80</v>
      </c>
      <c r="L28" s="6" t="n">
        <v>4.4</v>
      </c>
      <c r="M28" s="6" t="str">
        <f aca="false">IF(I28&gt;=30,"High",IF(I28&gt;=15,"Medium","Low"))</f>
        <v>Medium</v>
      </c>
      <c r="N28" s="6" t="str">
        <f aca="false">IF(K28&gt;=300,"Very High",IF(K28&gt;=150,"High",IF(K28&gt;=80,"Medium","Low")))</f>
        <v>Medium</v>
      </c>
    </row>
    <row r="29" customFormat="false" ht="15" hidden="false" customHeight="false" outlineLevel="0" collapsed="false">
      <c r="A29" s="3" t="s">
        <v>118</v>
      </c>
      <c r="B29" s="4" t="s">
        <v>16</v>
      </c>
      <c r="C29" s="4" t="s">
        <v>17</v>
      </c>
      <c r="D29" s="4" t="s">
        <v>119</v>
      </c>
      <c r="E29" s="3" t="s">
        <v>19</v>
      </c>
      <c r="F29" s="3" t="s">
        <v>74</v>
      </c>
      <c r="G29" s="4" t="s">
        <v>21</v>
      </c>
      <c r="H29" s="3" t="s">
        <v>22</v>
      </c>
      <c r="I29" s="5" t="n">
        <v>8</v>
      </c>
      <c r="J29" s="3" t="n">
        <v>2</v>
      </c>
      <c r="K29" s="3" t="n">
        <v>310</v>
      </c>
      <c r="L29" s="3" t="n">
        <v>3.8</v>
      </c>
      <c r="M29" s="3" t="str">
        <f aca="false">IF(I29&gt;=30,"High",IF(I29&gt;=15,"Medium","Low"))</f>
        <v>Low</v>
      </c>
      <c r="N29" s="3" t="str">
        <f aca="false">IF(K29&gt;=300,"Very High",IF(K29&gt;=150,"High",IF(K29&gt;=80,"Medium","Low")))</f>
        <v>Very High</v>
      </c>
    </row>
    <row r="30" customFormat="false" ht="15" hidden="false" customHeight="false" outlineLevel="0" collapsed="false">
      <c r="A30" s="6" t="s">
        <v>120</v>
      </c>
      <c r="B30" s="7" t="s">
        <v>45</v>
      </c>
      <c r="C30" s="7" t="s">
        <v>121</v>
      </c>
      <c r="D30" s="7" t="s">
        <v>18</v>
      </c>
      <c r="E30" s="6" t="s">
        <v>19</v>
      </c>
      <c r="F30" s="6" t="s">
        <v>32</v>
      </c>
      <c r="G30" s="7" t="s">
        <v>21</v>
      </c>
      <c r="H30" s="6" t="s">
        <v>33</v>
      </c>
      <c r="I30" s="8" t="n">
        <v>40</v>
      </c>
      <c r="J30" s="6" t="n">
        <v>6</v>
      </c>
      <c r="K30" s="6" t="n">
        <v>35</v>
      </c>
      <c r="L30" s="6" t="n">
        <v>4.8</v>
      </c>
      <c r="M30" s="6" t="str">
        <f aca="false">IF(I30&gt;=30,"High",IF(I30&gt;=15,"Medium","Low"))</f>
        <v>High</v>
      </c>
      <c r="N30" s="6" t="str">
        <f aca="false">IF(K30&gt;=300,"Very High",IF(K30&gt;=150,"High",IF(K30&gt;=80,"Medium","Low")))</f>
        <v>Low</v>
      </c>
    </row>
    <row r="31" customFormat="false" ht="15" hidden="false" customHeight="false" outlineLevel="0" collapsed="false">
      <c r="A31" s="3" t="s">
        <v>122</v>
      </c>
      <c r="B31" s="4" t="s">
        <v>62</v>
      </c>
      <c r="C31" s="4" t="s">
        <v>123</v>
      </c>
      <c r="D31" s="4" t="s">
        <v>18</v>
      </c>
      <c r="E31" s="3" t="s">
        <v>19</v>
      </c>
      <c r="F31" s="3" t="s">
        <v>20</v>
      </c>
      <c r="G31" s="4" t="s">
        <v>124</v>
      </c>
      <c r="H31" s="3" t="s">
        <v>22</v>
      </c>
      <c r="I31" s="5" t="n">
        <v>15</v>
      </c>
      <c r="J31" s="3" t="n">
        <v>3</v>
      </c>
      <c r="K31" s="3" t="n">
        <v>140</v>
      </c>
      <c r="L31" s="3" t="n">
        <v>3.9</v>
      </c>
      <c r="M31" s="3" t="str">
        <f aca="false">IF(I31&gt;=30,"High",IF(I31&gt;=15,"Medium","Low"))</f>
        <v>Medium</v>
      </c>
      <c r="N31" s="3" t="str">
        <f aca="false">IF(K31&gt;=300,"Very High",IF(K31&gt;=150,"High",IF(K31&gt;=80,"Medium","Low")))</f>
        <v>Medium</v>
      </c>
    </row>
    <row r="32" customFormat="false" ht="15" hidden="false" customHeight="false" outlineLevel="0" collapsed="false">
      <c r="A32" s="6" t="s">
        <v>125</v>
      </c>
      <c r="B32" s="7" t="s">
        <v>126</v>
      </c>
      <c r="C32" s="7" t="s">
        <v>127</v>
      </c>
      <c r="D32" s="7" t="s">
        <v>50</v>
      </c>
      <c r="E32" s="6" t="s">
        <v>128</v>
      </c>
      <c r="F32" s="6" t="s">
        <v>32</v>
      </c>
      <c r="G32" s="7" t="s">
        <v>129</v>
      </c>
      <c r="H32" s="6" t="s">
        <v>130</v>
      </c>
      <c r="I32" s="8" t="n">
        <v>60</v>
      </c>
      <c r="J32" s="6" t="n">
        <v>8</v>
      </c>
      <c r="K32" s="6" t="n">
        <v>15</v>
      </c>
      <c r="L32" s="6" t="n">
        <v>5</v>
      </c>
      <c r="M32" s="6" t="str">
        <f aca="false">IF(I32&gt;=30,"High",IF(I32&gt;=15,"Medium","Low"))</f>
        <v>High</v>
      </c>
      <c r="N32" s="6" t="str">
        <f aca="false">IF(K32&gt;=300,"Very High",IF(K32&gt;=150,"High",IF(K32&gt;=80,"Medium","Low")))</f>
        <v>Low</v>
      </c>
    </row>
    <row r="33" customFormat="false" ht="15" hidden="false" customHeight="false" outlineLevel="0" collapsed="false">
      <c r="A33" s="3" t="s">
        <v>131</v>
      </c>
      <c r="B33" s="4" t="s">
        <v>73</v>
      </c>
      <c r="C33" s="4" t="s">
        <v>36</v>
      </c>
      <c r="D33" s="4" t="s">
        <v>37</v>
      </c>
      <c r="E33" s="3" t="s">
        <v>19</v>
      </c>
      <c r="F33" s="3" t="s">
        <v>74</v>
      </c>
      <c r="G33" s="4" t="s">
        <v>132</v>
      </c>
      <c r="H33" s="3" t="s">
        <v>22</v>
      </c>
      <c r="I33" s="5" t="n">
        <v>5</v>
      </c>
      <c r="J33" s="3" t="n">
        <v>1</v>
      </c>
      <c r="K33" s="3" t="n">
        <v>420</v>
      </c>
      <c r="L33" s="3" t="n">
        <v>3.5</v>
      </c>
      <c r="M33" s="3" t="str">
        <f aca="false">IF(I33&gt;=30,"High",IF(I33&gt;=15,"Medium","Low"))</f>
        <v>Low</v>
      </c>
      <c r="N33" s="3" t="str">
        <f aca="false">IF(K33&gt;=300,"Very High",IF(K33&gt;=150,"High",IF(K33&gt;=80,"Medium","Low")))</f>
        <v>Very High</v>
      </c>
    </row>
    <row r="34" customFormat="false" ht="15" hidden="false" customHeight="false" outlineLevel="0" collapsed="false">
      <c r="A34" s="6" t="s">
        <v>133</v>
      </c>
      <c r="B34" s="7" t="s">
        <v>35</v>
      </c>
      <c r="C34" s="7" t="s">
        <v>134</v>
      </c>
      <c r="D34" s="7" t="s">
        <v>26</v>
      </c>
      <c r="E34" s="6" t="s">
        <v>19</v>
      </c>
      <c r="F34" s="6" t="s">
        <v>32</v>
      </c>
      <c r="G34" s="7" t="s">
        <v>135</v>
      </c>
      <c r="H34" s="6" t="s">
        <v>22</v>
      </c>
      <c r="I34" s="8" t="n">
        <v>28</v>
      </c>
      <c r="J34" s="6" t="n">
        <v>6</v>
      </c>
      <c r="K34" s="6" t="n">
        <v>50</v>
      </c>
      <c r="L34" s="6" t="n">
        <v>4.5</v>
      </c>
      <c r="M34" s="6" t="str">
        <f aca="false">IF(I34&gt;=30,"High",IF(I34&gt;=15,"Medium","Low"))</f>
        <v>Medium</v>
      </c>
      <c r="N34" s="6" t="str">
        <f aca="false">IF(K34&gt;=300,"Very High",IF(K34&gt;=150,"High",IF(K34&gt;=80,"Medium","Low")))</f>
        <v>Low</v>
      </c>
    </row>
    <row r="35" customFormat="false" ht="15" hidden="false" customHeight="false" outlineLevel="0" collapsed="false">
      <c r="A35" s="3" t="s">
        <v>136</v>
      </c>
      <c r="B35" s="4" t="s">
        <v>77</v>
      </c>
      <c r="C35" s="4" t="s">
        <v>137</v>
      </c>
      <c r="D35" s="4" t="s">
        <v>50</v>
      </c>
      <c r="E35" s="3" t="s">
        <v>19</v>
      </c>
      <c r="F35" s="3" t="s">
        <v>20</v>
      </c>
      <c r="G35" s="4" t="s">
        <v>138</v>
      </c>
      <c r="H35" s="3" t="s">
        <v>22</v>
      </c>
      <c r="I35" s="5" t="n">
        <v>12</v>
      </c>
      <c r="J35" s="3" t="n">
        <v>4</v>
      </c>
      <c r="K35" s="3" t="n">
        <v>130</v>
      </c>
      <c r="L35" s="3" t="n">
        <v>4</v>
      </c>
      <c r="M35" s="3" t="str">
        <f aca="false">IF(I35&gt;=30,"High",IF(I35&gt;=15,"Medium","Low"))</f>
        <v>Low</v>
      </c>
      <c r="N35" s="3" t="str">
        <f aca="false">IF(K35&gt;=300,"Very High",IF(K35&gt;=150,"High",IF(K35&gt;=80,"Medium","Low")))</f>
        <v>Medium</v>
      </c>
    </row>
    <row r="36" customFormat="false" ht="15" hidden="false" customHeight="false" outlineLevel="0" collapsed="false">
      <c r="A36" s="6" t="s">
        <v>139</v>
      </c>
      <c r="B36" s="7" t="s">
        <v>90</v>
      </c>
      <c r="C36" s="7" t="s">
        <v>140</v>
      </c>
      <c r="D36" s="7" t="s">
        <v>50</v>
      </c>
      <c r="E36" s="6" t="s">
        <v>19</v>
      </c>
      <c r="F36" s="6" t="s">
        <v>20</v>
      </c>
      <c r="G36" s="7" t="s">
        <v>21</v>
      </c>
      <c r="H36" s="6" t="s">
        <v>22</v>
      </c>
      <c r="I36" s="8" t="n">
        <v>16</v>
      </c>
      <c r="J36" s="6" t="n">
        <v>3</v>
      </c>
      <c r="K36" s="6" t="n">
        <v>115</v>
      </c>
      <c r="L36" s="6" t="n">
        <v>4.1</v>
      </c>
      <c r="M36" s="6" t="str">
        <f aca="false">IF(I36&gt;=30,"High",IF(I36&gt;=15,"Medium","Low"))</f>
        <v>Medium</v>
      </c>
      <c r="N36" s="6" t="str">
        <f aca="false">IF(K36&gt;=300,"Very High",IF(K36&gt;=150,"High",IF(K36&gt;=80,"Medium","Low")))</f>
        <v>Medium</v>
      </c>
    </row>
    <row r="37" customFormat="false" ht="15" hidden="false" customHeight="false" outlineLevel="0" collapsed="false">
      <c r="A37" s="3" t="s">
        <v>141</v>
      </c>
      <c r="B37" s="4" t="s">
        <v>69</v>
      </c>
      <c r="C37" s="4" t="s">
        <v>142</v>
      </c>
      <c r="D37" s="4" t="s">
        <v>18</v>
      </c>
      <c r="E37" s="3" t="s">
        <v>19</v>
      </c>
      <c r="F37" s="3" t="s">
        <v>32</v>
      </c>
      <c r="G37" s="4" t="s">
        <v>71</v>
      </c>
      <c r="H37" s="3" t="s">
        <v>60</v>
      </c>
      <c r="I37" s="5" t="n">
        <v>32</v>
      </c>
      <c r="J37" s="3" t="n">
        <v>6</v>
      </c>
      <c r="K37" s="3" t="n">
        <v>38</v>
      </c>
      <c r="L37" s="3" t="n">
        <v>4.6</v>
      </c>
      <c r="M37" s="3" t="str">
        <f aca="false">IF(I37&gt;=30,"High",IF(I37&gt;=15,"Medium","Low"))</f>
        <v>High</v>
      </c>
      <c r="N37" s="3" t="str">
        <f aca="false">IF(K37&gt;=300,"Very High",IF(K37&gt;=150,"High",IF(K37&gt;=80,"Medium","Low")))</f>
        <v>Low</v>
      </c>
    </row>
    <row r="38" customFormat="false" ht="15" hidden="false" customHeight="false" outlineLevel="0" collapsed="false">
      <c r="A38" s="6" t="s">
        <v>143</v>
      </c>
      <c r="B38" s="7" t="s">
        <v>81</v>
      </c>
      <c r="C38" s="7" t="s">
        <v>144</v>
      </c>
      <c r="D38" s="7" t="s">
        <v>37</v>
      </c>
      <c r="E38" s="6" t="s">
        <v>128</v>
      </c>
      <c r="F38" s="6" t="s">
        <v>20</v>
      </c>
      <c r="G38" s="7" t="s">
        <v>83</v>
      </c>
      <c r="H38" s="6" t="s">
        <v>84</v>
      </c>
      <c r="I38" s="8" t="n">
        <v>22</v>
      </c>
      <c r="J38" s="6" t="n">
        <v>4</v>
      </c>
      <c r="K38" s="6" t="n">
        <v>75</v>
      </c>
      <c r="L38" s="6" t="n">
        <v>4.4</v>
      </c>
      <c r="M38" s="6" t="str">
        <f aca="false">IF(I38&gt;=30,"High",IF(I38&gt;=15,"Medium","Low"))</f>
        <v>Medium</v>
      </c>
      <c r="N38" s="6" t="str">
        <f aca="false">IF(K38&gt;=300,"Very High",IF(K38&gt;=150,"High",IF(K38&gt;=80,"Medium","Low")))</f>
        <v>Low</v>
      </c>
    </row>
    <row r="39" customFormat="false" ht="15" hidden="false" customHeight="false" outlineLevel="0" collapsed="false">
      <c r="A39" s="3" t="s">
        <v>145</v>
      </c>
      <c r="B39" s="4" t="s">
        <v>86</v>
      </c>
      <c r="C39" s="4" t="s">
        <v>146</v>
      </c>
      <c r="D39" s="4" t="s">
        <v>50</v>
      </c>
      <c r="E39" s="3" t="s">
        <v>19</v>
      </c>
      <c r="F39" s="3" t="s">
        <v>32</v>
      </c>
      <c r="G39" s="4" t="s">
        <v>147</v>
      </c>
      <c r="H39" s="3" t="s">
        <v>33</v>
      </c>
      <c r="I39" s="5" t="n">
        <v>38</v>
      </c>
      <c r="J39" s="3" t="n">
        <v>6</v>
      </c>
      <c r="K39" s="3" t="n">
        <v>40</v>
      </c>
      <c r="L39" s="3" t="n">
        <v>4.7</v>
      </c>
      <c r="M39" s="3" t="str">
        <f aca="false">IF(I39&gt;=30,"High",IF(I39&gt;=15,"Medium","Low"))</f>
        <v>High</v>
      </c>
      <c r="N39" s="3" t="str">
        <f aca="false">IF(K39&gt;=300,"Very High",IF(K39&gt;=150,"High",IF(K39&gt;=80,"Medium","Low")))</f>
        <v>Low</v>
      </c>
    </row>
    <row r="40" customFormat="false" ht="15" hidden="false" customHeight="false" outlineLevel="0" collapsed="false">
      <c r="A40" s="6" t="s">
        <v>148</v>
      </c>
      <c r="B40" s="7" t="s">
        <v>16</v>
      </c>
      <c r="C40" s="7" t="s">
        <v>30</v>
      </c>
      <c r="D40" s="7" t="s">
        <v>18</v>
      </c>
      <c r="E40" s="6" t="s">
        <v>19</v>
      </c>
      <c r="F40" s="6" t="s">
        <v>20</v>
      </c>
      <c r="G40" s="7" t="s">
        <v>149</v>
      </c>
      <c r="H40" s="6" t="s">
        <v>22</v>
      </c>
      <c r="I40" s="8" t="n">
        <v>11</v>
      </c>
      <c r="J40" s="6" t="n">
        <v>3</v>
      </c>
      <c r="K40" s="6" t="n">
        <v>240</v>
      </c>
      <c r="L40" s="6" t="n">
        <v>3.9</v>
      </c>
      <c r="M40" s="6" t="str">
        <f aca="false">IF(I40&gt;=30,"High",IF(I40&gt;=15,"Medium","Low"))</f>
        <v>Low</v>
      </c>
      <c r="N40" s="6" t="str">
        <f aca="false">IF(K40&gt;=300,"Very High",IF(K40&gt;=150,"High",IF(K40&gt;=80,"Medium","Low")))</f>
        <v>High</v>
      </c>
    </row>
    <row r="41" customFormat="false" ht="15" hidden="false" customHeight="false" outlineLevel="0" collapsed="false">
      <c r="A41" s="3" t="s">
        <v>150</v>
      </c>
      <c r="B41" s="4" t="s">
        <v>98</v>
      </c>
      <c r="C41" s="4" t="s">
        <v>151</v>
      </c>
      <c r="D41" s="4" t="s">
        <v>31</v>
      </c>
      <c r="E41" s="3" t="s">
        <v>19</v>
      </c>
      <c r="F41" s="3" t="s">
        <v>20</v>
      </c>
      <c r="G41" s="4" t="s">
        <v>152</v>
      </c>
      <c r="H41" s="3" t="s">
        <v>60</v>
      </c>
      <c r="I41" s="5" t="n">
        <v>18</v>
      </c>
      <c r="J41" s="3" t="n">
        <v>4</v>
      </c>
      <c r="K41" s="3" t="n">
        <v>90</v>
      </c>
      <c r="L41" s="3" t="n">
        <v>4.1</v>
      </c>
      <c r="M41" s="3" t="str">
        <f aca="false">IF(I41&gt;=30,"High",IF(I41&gt;=15,"Medium","Low"))</f>
        <v>Medium</v>
      </c>
      <c r="N41" s="3" t="str">
        <f aca="false">IF(K41&gt;=300,"Very High",IF(K41&gt;=150,"High",IF(K41&gt;=80,"Medium","Low")))</f>
        <v>Medium</v>
      </c>
    </row>
    <row r="42" customFormat="false" ht="15" hidden="false" customHeight="false" outlineLevel="0" collapsed="false">
      <c r="A42" s="6" t="s">
        <v>153</v>
      </c>
      <c r="B42" s="7" t="s">
        <v>24</v>
      </c>
      <c r="C42" s="7" t="s">
        <v>154</v>
      </c>
      <c r="D42" s="7" t="s">
        <v>55</v>
      </c>
      <c r="E42" s="6" t="s">
        <v>19</v>
      </c>
      <c r="F42" s="6" t="s">
        <v>74</v>
      </c>
      <c r="G42" s="7" t="s">
        <v>155</v>
      </c>
      <c r="H42" s="6" t="s">
        <v>156</v>
      </c>
      <c r="I42" s="8" t="n">
        <v>7</v>
      </c>
      <c r="J42" s="6" t="n">
        <v>1</v>
      </c>
      <c r="K42" s="6" t="n">
        <v>280</v>
      </c>
      <c r="L42" s="6" t="n">
        <v>3.8</v>
      </c>
      <c r="M42" s="6" t="str">
        <f aca="false">IF(I42&gt;=30,"High",IF(I42&gt;=15,"Medium","Low"))</f>
        <v>Low</v>
      </c>
      <c r="N42" s="6" t="str">
        <f aca="false">IF(K42&gt;=300,"Very High",IF(K42&gt;=150,"High",IF(K42&gt;=80,"Medium","Low")))</f>
        <v>High</v>
      </c>
    </row>
    <row r="43" customFormat="false" ht="15" hidden="false" customHeight="false" outlineLevel="0" collapsed="false">
      <c r="A43" s="3" t="s">
        <v>157</v>
      </c>
      <c r="B43" s="4" t="s">
        <v>29</v>
      </c>
      <c r="C43" s="4" t="s">
        <v>158</v>
      </c>
      <c r="D43" s="4" t="s">
        <v>18</v>
      </c>
      <c r="E43" s="3" t="s">
        <v>19</v>
      </c>
      <c r="F43" s="3" t="s">
        <v>32</v>
      </c>
      <c r="G43" s="4" t="s">
        <v>21</v>
      </c>
      <c r="H43" s="3" t="s">
        <v>33</v>
      </c>
      <c r="I43" s="5" t="n">
        <v>36</v>
      </c>
      <c r="J43" s="3" t="n">
        <v>5</v>
      </c>
      <c r="K43" s="3" t="n">
        <v>44</v>
      </c>
      <c r="L43" s="3" t="n">
        <v>4.6</v>
      </c>
      <c r="M43" s="3" t="str">
        <f aca="false">IF(I43&gt;=30,"High",IF(I43&gt;=15,"Medium","Low"))</f>
        <v>High</v>
      </c>
      <c r="N43" s="3" t="str">
        <f aca="false">IF(K43&gt;=300,"Very High",IF(K43&gt;=150,"High",IF(K43&gt;=80,"Medium","Low")))</f>
        <v>Low</v>
      </c>
    </row>
    <row r="44" customFormat="false" ht="15" hidden="false" customHeight="false" outlineLevel="0" collapsed="false">
      <c r="A44" s="6" t="s">
        <v>159</v>
      </c>
      <c r="B44" s="7" t="s">
        <v>48</v>
      </c>
      <c r="C44" s="7" t="s">
        <v>160</v>
      </c>
      <c r="D44" s="7" t="s">
        <v>55</v>
      </c>
      <c r="E44" s="6" t="s">
        <v>19</v>
      </c>
      <c r="F44" s="6" t="s">
        <v>20</v>
      </c>
      <c r="G44" s="7" t="s">
        <v>161</v>
      </c>
      <c r="H44" s="6" t="s">
        <v>22</v>
      </c>
      <c r="I44" s="8" t="n">
        <v>14</v>
      </c>
      <c r="J44" s="6" t="n">
        <v>3</v>
      </c>
      <c r="K44" s="6" t="n">
        <v>160</v>
      </c>
      <c r="L44" s="6" t="n">
        <v>4</v>
      </c>
      <c r="M44" s="6" t="str">
        <f aca="false">IF(I44&gt;=30,"High",IF(I44&gt;=15,"Medium","Low"))</f>
        <v>Low</v>
      </c>
      <c r="N44" s="6" t="str">
        <f aca="false">IF(K44&gt;=300,"Very High",IF(K44&gt;=150,"High",IF(K44&gt;=80,"Medium","Low")))</f>
        <v>High</v>
      </c>
    </row>
    <row r="45" customFormat="false" ht="15" hidden="false" customHeight="false" outlineLevel="0" collapsed="false">
      <c r="A45" s="3" t="s">
        <v>162</v>
      </c>
      <c r="B45" s="4" t="s">
        <v>40</v>
      </c>
      <c r="C45" s="4" t="s">
        <v>163</v>
      </c>
      <c r="D45" s="4" t="s">
        <v>50</v>
      </c>
      <c r="E45" s="3" t="s">
        <v>19</v>
      </c>
      <c r="F45" s="3" t="s">
        <v>32</v>
      </c>
      <c r="G45" s="4" t="s">
        <v>38</v>
      </c>
      <c r="H45" s="3" t="s">
        <v>22</v>
      </c>
      <c r="I45" s="5" t="n">
        <v>30</v>
      </c>
      <c r="J45" s="3" t="n">
        <v>6</v>
      </c>
      <c r="K45" s="3" t="n">
        <v>48</v>
      </c>
      <c r="L45" s="3" t="n">
        <v>4.5</v>
      </c>
      <c r="M45" s="3" t="str">
        <f aca="false">IF(I45&gt;=30,"High",IF(I45&gt;=15,"Medium","Low"))</f>
        <v>High</v>
      </c>
      <c r="N45" s="3" t="str">
        <f aca="false">IF(K45&gt;=300,"Very High",IF(K45&gt;=150,"High",IF(K45&gt;=80,"Medium","Low")))</f>
        <v>Low</v>
      </c>
    </row>
    <row r="46" customFormat="false" ht="15" hidden="false" customHeight="false" outlineLevel="0" collapsed="false">
      <c r="A46" s="6" t="s">
        <v>164</v>
      </c>
      <c r="B46" s="7" t="s">
        <v>53</v>
      </c>
      <c r="C46" s="7" t="s">
        <v>103</v>
      </c>
      <c r="D46" s="7" t="s">
        <v>55</v>
      </c>
      <c r="E46" s="6" t="s">
        <v>19</v>
      </c>
      <c r="F46" s="6" t="s">
        <v>32</v>
      </c>
      <c r="G46" s="7" t="s">
        <v>165</v>
      </c>
      <c r="H46" s="6" t="s">
        <v>22</v>
      </c>
      <c r="I46" s="8" t="n">
        <v>27</v>
      </c>
      <c r="J46" s="6" t="n">
        <v>6</v>
      </c>
      <c r="K46" s="6" t="n">
        <v>58</v>
      </c>
      <c r="L46" s="6" t="n">
        <v>4.4</v>
      </c>
      <c r="M46" s="6" t="str">
        <f aca="false">IF(I46&gt;=30,"High",IF(I46&gt;=15,"Medium","Low"))</f>
        <v>Medium</v>
      </c>
      <c r="N46" s="6" t="str">
        <f aca="false">IF(K46&gt;=300,"Very High",IF(K46&gt;=150,"High",IF(K46&gt;=80,"Medium","Low")))</f>
        <v>Low</v>
      </c>
    </row>
    <row r="47" customFormat="false" ht="15" hidden="false" customHeight="false" outlineLevel="0" collapsed="false">
      <c r="A47" s="3" t="s">
        <v>166</v>
      </c>
      <c r="B47" s="4" t="s">
        <v>58</v>
      </c>
      <c r="C47" s="4" t="s">
        <v>167</v>
      </c>
      <c r="D47" s="4" t="s">
        <v>31</v>
      </c>
      <c r="E47" s="3" t="s">
        <v>19</v>
      </c>
      <c r="F47" s="3" t="s">
        <v>20</v>
      </c>
      <c r="G47" s="4" t="s">
        <v>168</v>
      </c>
      <c r="H47" s="3" t="s">
        <v>60</v>
      </c>
      <c r="I47" s="5" t="n">
        <v>12</v>
      </c>
      <c r="J47" s="3" t="n">
        <v>3</v>
      </c>
      <c r="K47" s="3" t="n">
        <v>185</v>
      </c>
      <c r="L47" s="3" t="n">
        <v>3.9</v>
      </c>
      <c r="M47" s="3" t="str">
        <f aca="false">IF(I47&gt;=30,"High",IF(I47&gt;=15,"Medium","Low"))</f>
        <v>Low</v>
      </c>
      <c r="N47" s="3" t="str">
        <f aca="false">IF(K47&gt;=300,"Very High",IF(K47&gt;=150,"High",IF(K47&gt;=80,"Medium","Low")))</f>
        <v>High</v>
      </c>
    </row>
    <row r="48" customFormat="false" ht="15" hidden="false" customHeight="false" outlineLevel="0" collapsed="false">
      <c r="A48" s="6" t="s">
        <v>169</v>
      </c>
      <c r="B48" s="7" t="s">
        <v>16</v>
      </c>
      <c r="C48" s="7" t="s">
        <v>170</v>
      </c>
      <c r="D48" s="7" t="s">
        <v>42</v>
      </c>
      <c r="E48" s="6" t="s">
        <v>19</v>
      </c>
      <c r="F48" s="6" t="s">
        <v>20</v>
      </c>
      <c r="G48" s="7" t="s">
        <v>92</v>
      </c>
      <c r="H48" s="6" t="s">
        <v>22</v>
      </c>
      <c r="I48" s="8" t="n">
        <v>13</v>
      </c>
      <c r="J48" s="6" t="n">
        <v>3</v>
      </c>
      <c r="K48" s="6" t="n">
        <v>210</v>
      </c>
      <c r="L48" s="6" t="n">
        <v>4.2</v>
      </c>
      <c r="M48" s="6" t="str">
        <f aca="false">IF(I48&gt;=30,"High",IF(I48&gt;=15,"Medium","Low"))</f>
        <v>Low</v>
      </c>
      <c r="N48" s="6" t="str">
        <f aca="false">IF(K48&gt;=300,"Very High",IF(K48&gt;=150,"High",IF(K48&gt;=80,"Medium","Low")))</f>
        <v>High</v>
      </c>
    </row>
    <row r="49" customFormat="false" ht="15" hidden="false" customHeight="false" outlineLevel="0" collapsed="false">
      <c r="A49" s="3" t="s">
        <v>171</v>
      </c>
      <c r="B49" s="4" t="s">
        <v>45</v>
      </c>
      <c r="C49" s="4" t="s">
        <v>172</v>
      </c>
      <c r="D49" s="4" t="s">
        <v>18</v>
      </c>
      <c r="E49" s="3" t="s">
        <v>19</v>
      </c>
      <c r="F49" s="3" t="s">
        <v>20</v>
      </c>
      <c r="G49" s="4" t="s">
        <v>173</v>
      </c>
      <c r="H49" s="3" t="s">
        <v>174</v>
      </c>
      <c r="I49" s="5" t="n">
        <v>20</v>
      </c>
      <c r="J49" s="3" t="n">
        <v>4</v>
      </c>
      <c r="K49" s="3" t="n">
        <v>95</v>
      </c>
      <c r="L49" s="3" t="n">
        <v>4.3</v>
      </c>
      <c r="M49" s="3" t="str">
        <f aca="false">IF(I49&gt;=30,"High",IF(I49&gt;=15,"Medium","Low"))</f>
        <v>Medium</v>
      </c>
      <c r="N49" s="3" t="str">
        <f aca="false">IF(K49&gt;=300,"Very High",IF(K49&gt;=150,"High",IF(K49&gt;=80,"Medium","Low")))</f>
        <v>Medium</v>
      </c>
    </row>
    <row r="50" customFormat="false" ht="15" hidden="false" customHeight="false" outlineLevel="0" collapsed="false">
      <c r="A50" s="6" t="s">
        <v>175</v>
      </c>
      <c r="B50" s="7" t="s">
        <v>35</v>
      </c>
      <c r="C50" s="7" t="s">
        <v>176</v>
      </c>
      <c r="D50" s="7" t="s">
        <v>26</v>
      </c>
      <c r="E50" s="6" t="s">
        <v>19</v>
      </c>
      <c r="F50" s="6" t="s">
        <v>20</v>
      </c>
      <c r="G50" s="7" t="s">
        <v>38</v>
      </c>
      <c r="H50" s="6" t="s">
        <v>22</v>
      </c>
      <c r="I50" s="8" t="n">
        <v>19</v>
      </c>
      <c r="J50" s="6" t="n">
        <v>4</v>
      </c>
      <c r="K50" s="6" t="n">
        <v>100</v>
      </c>
      <c r="L50" s="6" t="n">
        <v>4.2</v>
      </c>
      <c r="M50" s="6" t="str">
        <f aca="false">IF(I50&gt;=30,"High",IF(I50&gt;=15,"Medium","Low"))</f>
        <v>Medium</v>
      </c>
      <c r="N50" s="6" t="str">
        <f aca="false">IF(K50&gt;=300,"Very High",IF(K50&gt;=150,"High",IF(K50&gt;=80,"Medium","Low")))</f>
        <v>Medium</v>
      </c>
    </row>
    <row r="51" customFormat="false" ht="15" hidden="false" customHeight="false" outlineLevel="0" collapsed="false">
      <c r="A51" s="3" t="s">
        <v>177</v>
      </c>
      <c r="B51" s="4" t="s">
        <v>62</v>
      </c>
      <c r="C51" s="4" t="s">
        <v>178</v>
      </c>
      <c r="D51" s="4" t="s">
        <v>18</v>
      </c>
      <c r="E51" s="3" t="s">
        <v>19</v>
      </c>
      <c r="F51" s="3" t="s">
        <v>20</v>
      </c>
      <c r="G51" s="4" t="s">
        <v>179</v>
      </c>
      <c r="H51" s="3" t="s">
        <v>22</v>
      </c>
      <c r="I51" s="5" t="n">
        <v>18</v>
      </c>
      <c r="J51" s="3" t="n">
        <v>4</v>
      </c>
      <c r="K51" s="3" t="n">
        <v>108</v>
      </c>
      <c r="L51" s="3" t="n">
        <v>4.1</v>
      </c>
      <c r="M51" s="3" t="str">
        <f aca="false">IF(I51&gt;=30,"High",IF(I51&gt;=15,"Medium","Low"))</f>
        <v>Medium</v>
      </c>
      <c r="N51" s="3" t="str">
        <f aca="false">IF(K51&gt;=300,"Very High",IF(K51&gt;=150,"High",IF(K51&gt;=80,"Medium","Low")))</f>
        <v>Medium</v>
      </c>
    </row>
    <row r="52" customFormat="false" ht="15" hidden="false" customHeight="false" outlineLevel="0" collapsed="false">
      <c r="A52" s="6" t="s">
        <v>180</v>
      </c>
      <c r="B52" s="7" t="s">
        <v>66</v>
      </c>
      <c r="C52" s="7" t="s">
        <v>181</v>
      </c>
      <c r="D52" s="7" t="s">
        <v>18</v>
      </c>
      <c r="E52" s="6" t="s">
        <v>19</v>
      </c>
      <c r="F52" s="6" t="s">
        <v>32</v>
      </c>
      <c r="G52" s="7" t="s">
        <v>182</v>
      </c>
      <c r="H52" s="6" t="s">
        <v>33</v>
      </c>
      <c r="I52" s="8" t="n">
        <v>38</v>
      </c>
      <c r="J52" s="6" t="n">
        <v>5</v>
      </c>
      <c r="K52" s="6" t="n">
        <v>36</v>
      </c>
      <c r="L52" s="6" t="n">
        <v>4.7</v>
      </c>
      <c r="M52" s="6" t="str">
        <f aca="false">IF(I52&gt;=30,"High",IF(I52&gt;=15,"Medium","Low"))</f>
        <v>High</v>
      </c>
      <c r="N52" s="6" t="str">
        <f aca="false">IF(K52&gt;=300,"Very High",IF(K52&gt;=150,"High",IF(K52&gt;=80,"Medium","Low")))</f>
        <v>Low</v>
      </c>
    </row>
  </sheetData>
  <mergeCells count="1">
    <mergeCell ref="A1:N1"/>
  </mergeCells>
  <conditionalFormatting sqref="I3:I52">
    <cfRule type="colorScale" priority="2">
      <colorScale>
        <cfvo type="min" val="0"/>
        <cfvo type="percentile" val="50"/>
        <cfvo type="max" val="0"/>
        <color rgb="FFFADBD8"/>
        <color rgb="FFFCE5CD"/>
        <color rgb="FFD9EAD3"/>
      </colorScale>
    </cfRule>
  </conditionalFormatting>
  <conditionalFormatting sqref="K3:K52">
    <cfRule type="dataBar" priority="3">
      <dataBar showValue="1" minLength="10" maxLength="90">
        <cfvo type="min" val="0"/>
        <cfvo type="max" val="0"/>
        <color rgb="FF1A6EBD"/>
      </dataBar>
      <extLst>
        <ext xmlns:x14="http://schemas.microsoft.com/office/spreadsheetml/2009/9/main" uri="{B025F937-C7B1-47D3-B67F-A62EFF666E3E}">
          <x14:id>{E6CD125B-B0C7-4696-B167-3E9B6CDA3DA3}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CD125B-B0C7-4696-B167-3E9B6CDA3DA3}">
            <x14:dataBar minLength="10" maxLength="90" axisPosition="none" gradient="true">
              <x14:cfvo type="min"/>
              <x14:cfvo type="max"/>
              <x14:negativeFillColor rgb="FF1A6EBD"/>
              <x14:axisColor rgb="FF000000"/>
            </x14:dataBar>
          </x14:cfRule>
          <xm:sqref>K3:K52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7B00"/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6"/>
  </cols>
  <sheetData>
    <row r="1" customFormat="false" ht="15" hidden="false" customHeight="true" outlineLevel="0" collapsed="false">
      <c r="A1" s="9" t="s">
        <v>183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A2" s="2" t="s">
        <v>184</v>
      </c>
      <c r="B2" s="2" t="s">
        <v>185</v>
      </c>
      <c r="C2" s="2" t="s">
        <v>186</v>
      </c>
      <c r="D2" s="2" t="s">
        <v>187</v>
      </c>
      <c r="E2" s="2" t="s">
        <v>188</v>
      </c>
      <c r="F2" s="2" t="s">
        <v>189</v>
      </c>
      <c r="G2" s="2" t="s">
        <v>190</v>
      </c>
    </row>
    <row r="3" customFormat="false" ht="21.75" hidden="false" customHeight="true" outlineLevel="0" collapsed="false">
      <c r="A3" s="3" t="s">
        <v>191</v>
      </c>
      <c r="B3" s="3" t="s">
        <v>192</v>
      </c>
      <c r="C3" s="10" t="n">
        <f aca="false">COUNTA(Raw_Data!A3:A52)</f>
        <v>50</v>
      </c>
      <c r="D3" s="11" t="n">
        <f aca="false">C3</f>
        <v>50</v>
      </c>
      <c r="E3" s="3" t="str">
        <f aca="false">IF(D3=50,"✅ Complete","⚠️ Check")</f>
        <v>✅ Complete</v>
      </c>
      <c r="F3" s="3" t="s">
        <v>193</v>
      </c>
      <c r="G3" s="3" t="s">
        <v>194</v>
      </c>
    </row>
    <row r="4" customFormat="false" ht="21.75" hidden="false" customHeight="true" outlineLevel="0" collapsed="false">
      <c r="A4" s="6" t="s">
        <v>195</v>
      </c>
      <c r="B4" s="6" t="s">
        <v>196</v>
      </c>
      <c r="C4" s="12" t="n">
        <f aca="false">COUNTBLANK(Raw_Data!B3:B52)</f>
        <v>0</v>
      </c>
      <c r="D4" s="13" t="n">
        <f aca="false">C4</f>
        <v>0</v>
      </c>
      <c r="E4" s="6" t="str">
        <f aca="false">IF(D4=0,"✅ No Blanks","⚠️ Fix")</f>
        <v>✅ No Blanks</v>
      </c>
      <c r="F4" s="6" t="s">
        <v>197</v>
      </c>
      <c r="G4" s="6" t="s">
        <v>198</v>
      </c>
    </row>
    <row r="5" customFormat="false" ht="21.75" hidden="false" customHeight="true" outlineLevel="0" collapsed="false">
      <c r="A5" s="3" t="s">
        <v>199</v>
      </c>
      <c r="B5" s="3" t="s">
        <v>200</v>
      </c>
      <c r="C5" s="10" t="n">
        <f aca="false">COUNTBLANK(Raw_Data!I3:I52)</f>
        <v>0</v>
      </c>
      <c r="D5" s="11" t="n">
        <f aca="false">C5</f>
        <v>0</v>
      </c>
      <c r="E5" s="3" t="str">
        <f aca="false">IF(D5=0,"✅ No Blanks","⚠️ Fix")</f>
        <v>✅ No Blanks</v>
      </c>
      <c r="F5" s="3" t="s">
        <v>197</v>
      </c>
      <c r="G5" s="3" t="s">
        <v>201</v>
      </c>
    </row>
    <row r="6" customFormat="false" ht="21.75" hidden="false" customHeight="true" outlineLevel="0" collapsed="false">
      <c r="A6" s="6" t="s">
        <v>202</v>
      </c>
      <c r="B6" s="6" t="s">
        <v>203</v>
      </c>
      <c r="C6" s="12" t="n">
        <f aca="false">COUNTIF(Raw_Data!I3:I52,"&lt;0")</f>
        <v>0</v>
      </c>
      <c r="D6" s="13" t="n">
        <f aca="false">C6</f>
        <v>0</v>
      </c>
      <c r="E6" s="6" t="str">
        <f aca="false">IF(D6=0,"✅ Valid","❌ Error")</f>
        <v>✅ Valid</v>
      </c>
      <c r="F6" s="6" t="s">
        <v>204</v>
      </c>
      <c r="G6" s="6" t="s">
        <v>205</v>
      </c>
    </row>
    <row r="7" customFormat="false" ht="21.75" hidden="false" customHeight="true" outlineLevel="0" collapsed="false">
      <c r="A7" s="3" t="s">
        <v>206</v>
      </c>
      <c r="B7" s="3" t="s">
        <v>207</v>
      </c>
      <c r="C7" s="10" t="n">
        <f aca="false">COUNTIF(Raw_Data!E3:E52,"Full-Time")</f>
        <v>48</v>
      </c>
      <c r="D7" s="11" t="n">
        <f aca="false">C7</f>
        <v>48</v>
      </c>
      <c r="E7" s="3" t="s">
        <v>208</v>
      </c>
      <c r="F7" s="3" t="s">
        <v>193</v>
      </c>
      <c r="G7" s="3" t="s">
        <v>209</v>
      </c>
    </row>
    <row r="8" customFormat="false" ht="21.75" hidden="false" customHeight="true" outlineLevel="0" collapsed="false">
      <c r="A8" s="6" t="s">
        <v>210</v>
      </c>
      <c r="B8" s="6" t="s">
        <v>211</v>
      </c>
      <c r="C8" s="12" t="n">
        <f aca="false">COUNTIF(Raw_Data!F3:F52,"Senior")</f>
        <v>21</v>
      </c>
      <c r="D8" s="13" t="n">
        <f aca="false">C8</f>
        <v>21</v>
      </c>
      <c r="E8" s="6" t="s">
        <v>208</v>
      </c>
      <c r="F8" s="6" t="s">
        <v>193</v>
      </c>
      <c r="G8" s="6" t="s">
        <v>6</v>
      </c>
    </row>
    <row r="9" customFormat="false" ht="21.75" hidden="false" customHeight="true" outlineLevel="0" collapsed="false">
      <c r="A9" s="3" t="s">
        <v>212</v>
      </c>
      <c r="B9" s="3" t="s">
        <v>213</v>
      </c>
      <c r="C9" s="10" t="n">
        <f aca="false">COUNTIF(Raw_Data!F3:F52,"Junior")</f>
        <v>5</v>
      </c>
      <c r="D9" s="11" t="n">
        <f aca="false">C9</f>
        <v>5</v>
      </c>
      <c r="E9" s="3" t="s">
        <v>208</v>
      </c>
      <c r="F9" s="3" t="s">
        <v>193</v>
      </c>
      <c r="G9" s="3" t="s">
        <v>6</v>
      </c>
    </row>
    <row r="10" customFormat="false" ht="21.75" hidden="false" customHeight="true" outlineLevel="0" collapsed="false">
      <c r="A10" s="6" t="s">
        <v>214</v>
      </c>
      <c r="B10" s="6" t="s">
        <v>215</v>
      </c>
      <c r="C10" s="12" t="n">
        <f aca="false">COUNTIF(Raw_Data!F3:F52,"Mid-Level")</f>
        <v>24</v>
      </c>
      <c r="D10" s="13" t="n">
        <f aca="false">C10</f>
        <v>24</v>
      </c>
      <c r="E10" s="6" t="s">
        <v>208</v>
      </c>
      <c r="F10" s="6" t="s">
        <v>193</v>
      </c>
      <c r="G10" s="6" t="s">
        <v>6</v>
      </c>
    </row>
    <row r="11" customFormat="false" ht="21.75" hidden="false" customHeight="true" outlineLevel="0" collapsed="false">
      <c r="A11" s="3" t="s">
        <v>216</v>
      </c>
      <c r="B11" s="3" t="s">
        <v>217</v>
      </c>
      <c r="C11" s="10" t="n">
        <f aca="false">AVERAGE(Raw_Data!I3:I52)</f>
        <v>21.58</v>
      </c>
      <c r="D11" s="11" t="n">
        <f aca="false">C11</f>
        <v>21.58</v>
      </c>
      <c r="E11" s="3" t="s">
        <v>218</v>
      </c>
      <c r="F11" s="3" t="s">
        <v>219</v>
      </c>
      <c r="G11" s="3" t="s">
        <v>220</v>
      </c>
    </row>
    <row r="12" customFormat="false" ht="21.75" hidden="false" customHeight="true" outlineLevel="0" collapsed="false">
      <c r="A12" s="6" t="s">
        <v>221</v>
      </c>
      <c r="B12" s="6" t="s">
        <v>222</v>
      </c>
      <c r="C12" s="12" t="n">
        <f aca="false">MAX(Raw_Data!I3:I52)</f>
        <v>60</v>
      </c>
      <c r="D12" s="13" t="n">
        <f aca="false">C12</f>
        <v>60</v>
      </c>
      <c r="E12" s="6" t="s">
        <v>218</v>
      </c>
      <c r="F12" s="6" t="s">
        <v>219</v>
      </c>
      <c r="G12" s="6" t="s">
        <v>223</v>
      </c>
    </row>
    <row r="13" customFormat="false" ht="21.75" hidden="false" customHeight="true" outlineLevel="0" collapsed="false">
      <c r="A13" s="3" t="s">
        <v>224</v>
      </c>
      <c r="B13" s="3" t="s">
        <v>225</v>
      </c>
      <c r="C13" s="10" t="n">
        <f aca="false">MIN(Raw_Data!I3:I52)</f>
        <v>5</v>
      </c>
      <c r="D13" s="11" t="n">
        <f aca="false">C13</f>
        <v>5</v>
      </c>
      <c r="E13" s="3" t="s">
        <v>218</v>
      </c>
      <c r="F13" s="3" t="s">
        <v>219</v>
      </c>
      <c r="G13" s="3" t="s">
        <v>223</v>
      </c>
    </row>
    <row r="14" customFormat="false" ht="21.75" hidden="false" customHeight="true" outlineLevel="0" collapsed="false">
      <c r="A14" s="6" t="s">
        <v>226</v>
      </c>
      <c r="B14" s="6" t="s">
        <v>227</v>
      </c>
      <c r="C14" s="12" t="n">
        <f aca="false">AVERAGE(Raw_Data!K3:K52)</f>
        <v>127.24</v>
      </c>
      <c r="D14" s="13" t="n">
        <f aca="false">C14</f>
        <v>127.24</v>
      </c>
      <c r="E14" s="6" t="s">
        <v>218</v>
      </c>
      <c r="F14" s="6" t="s">
        <v>219</v>
      </c>
      <c r="G14" s="6" t="s">
        <v>228</v>
      </c>
    </row>
    <row r="15" customFormat="false" ht="21.75" hidden="false" customHeight="true" outlineLevel="0" collapsed="false">
      <c r="A15" s="3" t="s">
        <v>229</v>
      </c>
      <c r="B15" s="3" t="s">
        <v>230</v>
      </c>
      <c r="C15" s="10" t="n">
        <f aca="false">AVERAGE(Raw_Data!L3:L52)</f>
        <v>4.246</v>
      </c>
      <c r="D15" s="11" t="n">
        <f aca="false">C15</f>
        <v>4.246</v>
      </c>
      <c r="E15" s="3" t="s">
        <v>218</v>
      </c>
      <c r="F15" s="3" t="s">
        <v>219</v>
      </c>
      <c r="G15" s="3" t="s">
        <v>231</v>
      </c>
    </row>
    <row r="16" customFormat="false" ht="21.75" hidden="false" customHeight="true" outlineLevel="0" collapsed="false">
      <c r="A16" s="6" t="s">
        <v>232</v>
      </c>
      <c r="B16" s="6" t="s">
        <v>233</v>
      </c>
      <c r="C16" s="12" t="n">
        <f aca="false">COUNTIF(Raw_Data!I3:I52,"&gt;30")</f>
        <v>10</v>
      </c>
      <c r="D16" s="13" t="n">
        <f aca="false">C16</f>
        <v>10</v>
      </c>
      <c r="E16" s="6" t="s">
        <v>208</v>
      </c>
      <c r="F16" s="6" t="s">
        <v>219</v>
      </c>
      <c r="G16" s="6" t="s">
        <v>234</v>
      </c>
    </row>
    <row r="17" customFormat="false" ht="21.75" hidden="false" customHeight="true" outlineLevel="0" collapsed="false">
      <c r="A17" s="3" t="s">
        <v>235</v>
      </c>
      <c r="B17" s="3" t="s">
        <v>236</v>
      </c>
      <c r="C17" s="10" t="n">
        <f aca="false">COUNTIF(Raw_Data!D3:D52,"Bangalore")</f>
        <v>17</v>
      </c>
      <c r="D17" s="11" t="n">
        <f aca="false">C17</f>
        <v>17</v>
      </c>
      <c r="E17" s="3" t="s">
        <v>208</v>
      </c>
      <c r="F17" s="3" t="s">
        <v>193</v>
      </c>
      <c r="G17" s="3" t="s">
        <v>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7346"/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48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9" min="9" style="0" width="6"/>
    <col collapsed="false" customWidth="true" hidden="false" outlineLevel="0" max="10" min="10" style="0" width="16"/>
    <col collapsed="false" customWidth="true" hidden="false" outlineLevel="0" max="11" min="11" style="0" width="8"/>
    <col collapsed="false" customWidth="true" hidden="false" outlineLevel="0" max="12" min="12" style="0" width="16"/>
  </cols>
  <sheetData>
    <row r="1" customFormat="false" ht="15" hidden="false" customHeight="true" outlineLevel="0" collapsed="false">
      <c r="A1" s="14" t="s">
        <v>237</v>
      </c>
      <c r="B1" s="14"/>
      <c r="C1" s="14"/>
      <c r="D1" s="14"/>
      <c r="E1" s="14"/>
      <c r="F1" s="14"/>
      <c r="G1" s="14"/>
      <c r="I1" s="15" t="s">
        <v>238</v>
      </c>
      <c r="J1" s="15"/>
      <c r="K1" s="15"/>
      <c r="L1" s="15"/>
    </row>
    <row r="2" customFormat="false" ht="15" hidden="false" customHeight="false" outlineLevel="0" collapsed="false">
      <c r="A2" s="2" t="s">
        <v>184</v>
      </c>
      <c r="B2" s="2" t="s">
        <v>239</v>
      </c>
      <c r="C2" s="2" t="s">
        <v>240</v>
      </c>
      <c r="D2" s="2" t="s">
        <v>241</v>
      </c>
      <c r="E2" s="2" t="s">
        <v>242</v>
      </c>
      <c r="F2" s="2" t="s">
        <v>243</v>
      </c>
      <c r="G2" s="2" t="s">
        <v>244</v>
      </c>
      <c r="I2" s="2" t="s">
        <v>245</v>
      </c>
      <c r="J2" s="2" t="s">
        <v>246</v>
      </c>
      <c r="K2" s="2" t="s">
        <v>247</v>
      </c>
      <c r="L2" s="2" t="s">
        <v>248</v>
      </c>
    </row>
    <row r="4" customFormat="false" ht="21.75" hidden="false" customHeight="true" outlineLevel="0" collapsed="false">
      <c r="A4" s="6" t="s">
        <v>191</v>
      </c>
      <c r="B4" s="7" t="s">
        <v>249</v>
      </c>
      <c r="C4" s="6" t="s">
        <v>250</v>
      </c>
      <c r="D4" s="12" t="n">
        <f aca="false">AVERAGE(Raw_Data!I3:I52)</f>
        <v>21.58</v>
      </c>
      <c r="E4" s="16" t="n">
        <f aca="false">D4</f>
        <v>21.58</v>
      </c>
      <c r="F4" s="6" t="s">
        <v>251</v>
      </c>
      <c r="G4" s="7" t="s">
        <v>252</v>
      </c>
      <c r="I4" s="6" t="n">
        <v>1</v>
      </c>
      <c r="J4" s="7" t="s">
        <v>21</v>
      </c>
      <c r="K4" s="6" t="n">
        <v>18</v>
      </c>
      <c r="L4" s="17" t="n">
        <v>28</v>
      </c>
    </row>
    <row r="5" customFormat="false" ht="21.75" hidden="false" customHeight="true" outlineLevel="0" collapsed="false">
      <c r="A5" s="3" t="s">
        <v>195</v>
      </c>
      <c r="B5" s="4" t="s">
        <v>253</v>
      </c>
      <c r="C5" s="3" t="s">
        <v>254</v>
      </c>
      <c r="D5" s="10" t="n">
        <f aca="false">AVERAGEIF(Raw_Data!F3:F52,"Senior",Raw_Data!I3:I52)</f>
        <v>32.4285714285714</v>
      </c>
      <c r="E5" s="18" t="n">
        <f aca="false">D5</f>
        <v>32.4285714285714</v>
      </c>
      <c r="F5" s="3" t="s">
        <v>251</v>
      </c>
      <c r="G5" s="4" t="s">
        <v>255</v>
      </c>
      <c r="I5" s="3" t="n">
        <v>2</v>
      </c>
      <c r="J5" s="4" t="s">
        <v>27</v>
      </c>
      <c r="K5" s="3" t="n">
        <v>15</v>
      </c>
      <c r="L5" s="19" t="n">
        <v>18</v>
      </c>
    </row>
    <row r="6" customFormat="false" ht="21.75" hidden="false" customHeight="true" outlineLevel="0" collapsed="false">
      <c r="A6" s="6" t="s">
        <v>199</v>
      </c>
      <c r="B6" s="7" t="s">
        <v>256</v>
      </c>
      <c r="C6" s="6" t="s">
        <v>254</v>
      </c>
      <c r="D6" s="12" t="n">
        <f aca="false">AVERAGEIF(Raw_Data!F3:F52,"Mid-Level",Raw_Data!I3:I52)</f>
        <v>15.2083333333333</v>
      </c>
      <c r="E6" s="16" t="n">
        <f aca="false">D6</f>
        <v>15.2083333333333</v>
      </c>
      <c r="F6" s="6" t="s">
        <v>251</v>
      </c>
      <c r="G6" s="7" t="s">
        <v>257</v>
      </c>
      <c r="I6" s="6" t="n">
        <v>3</v>
      </c>
      <c r="J6" s="7" t="s">
        <v>92</v>
      </c>
      <c r="K6" s="6" t="n">
        <v>10</v>
      </c>
      <c r="L6" s="17" t="n">
        <v>14</v>
      </c>
    </row>
    <row r="7" customFormat="false" ht="21.75" hidden="false" customHeight="true" outlineLevel="0" collapsed="false">
      <c r="A7" s="3" t="s">
        <v>202</v>
      </c>
      <c r="B7" s="4" t="s">
        <v>258</v>
      </c>
      <c r="C7" s="3" t="s">
        <v>254</v>
      </c>
      <c r="D7" s="10" t="n">
        <f aca="false">AVERAGEIF(Raw_Data!F3:F52,"Junior",Raw_Data!I3:I52)</f>
        <v>6.6</v>
      </c>
      <c r="E7" s="18" t="n">
        <f aca="false">D7</f>
        <v>6.6</v>
      </c>
      <c r="F7" s="3" t="s">
        <v>251</v>
      </c>
      <c r="G7" s="4" t="s">
        <v>259</v>
      </c>
      <c r="I7" s="3" t="n">
        <v>4</v>
      </c>
      <c r="J7" s="4" t="s">
        <v>38</v>
      </c>
      <c r="K7" s="3" t="n">
        <v>9</v>
      </c>
      <c r="L7" s="19" t="n">
        <v>22</v>
      </c>
    </row>
    <row r="8" customFormat="false" ht="21.75" hidden="false" customHeight="true" outlineLevel="0" collapsed="false">
      <c r="A8" s="6" t="s">
        <v>206</v>
      </c>
      <c r="B8" s="7" t="s">
        <v>260</v>
      </c>
      <c r="C8" s="6" t="s">
        <v>254</v>
      </c>
      <c r="D8" s="12" t="n">
        <f aca="false">AVERAGEIF(Raw_Data!E3:E52,"Full-Time",Raw_Data!I3:I52)</f>
        <v>20.7708333333333</v>
      </c>
      <c r="E8" s="16" t="n">
        <f aca="false">D8</f>
        <v>20.7708333333333</v>
      </c>
      <c r="F8" s="6" t="s">
        <v>251</v>
      </c>
      <c r="G8" s="7" t="s">
        <v>261</v>
      </c>
      <c r="I8" s="6" t="n">
        <v>5</v>
      </c>
      <c r="J8" s="7" t="s">
        <v>51</v>
      </c>
      <c r="K8" s="6" t="n">
        <v>8</v>
      </c>
      <c r="L8" s="17" t="n">
        <v>16</v>
      </c>
    </row>
    <row r="9" customFormat="false" ht="21.75" hidden="false" customHeight="true" outlineLevel="0" collapsed="false">
      <c r="A9" s="3" t="s">
        <v>210</v>
      </c>
      <c r="B9" s="4" t="s">
        <v>262</v>
      </c>
      <c r="C9" s="3" t="s">
        <v>263</v>
      </c>
      <c r="D9" s="10" t="n">
        <f aca="false">MAX(Raw_Data!I3:I52)</f>
        <v>60</v>
      </c>
      <c r="E9" s="18" t="n">
        <f aca="false">D9</f>
        <v>60</v>
      </c>
      <c r="F9" s="3" t="s">
        <v>251</v>
      </c>
      <c r="G9" s="4" t="s">
        <v>264</v>
      </c>
      <c r="I9" s="3" t="n">
        <v>6</v>
      </c>
      <c r="J9" s="4" t="s">
        <v>71</v>
      </c>
      <c r="K9" s="3" t="n">
        <v>7</v>
      </c>
      <c r="L9" s="19" t="n">
        <v>24</v>
      </c>
    </row>
    <row r="10" customFormat="false" ht="21.75" hidden="false" customHeight="true" outlineLevel="0" collapsed="false">
      <c r="A10" s="6" t="s">
        <v>212</v>
      </c>
      <c r="B10" s="7" t="s">
        <v>265</v>
      </c>
      <c r="C10" s="6" t="s">
        <v>266</v>
      </c>
      <c r="D10" s="12" t="n">
        <f aca="false">MIN(Raw_Data!I3:I52)</f>
        <v>5</v>
      </c>
      <c r="E10" s="16" t="n">
        <f aca="false">D10</f>
        <v>5</v>
      </c>
      <c r="F10" s="6" t="s">
        <v>251</v>
      </c>
      <c r="G10" s="7" t="s">
        <v>267</v>
      </c>
      <c r="I10" s="6" t="n">
        <v>7</v>
      </c>
      <c r="J10" s="7" t="s">
        <v>83</v>
      </c>
      <c r="K10" s="6" t="n">
        <v>5</v>
      </c>
      <c r="L10" s="17" t="n">
        <v>18</v>
      </c>
    </row>
    <row r="11" customFormat="false" ht="21.75" hidden="false" customHeight="true" outlineLevel="0" collapsed="false">
      <c r="A11" s="3" t="s">
        <v>214</v>
      </c>
      <c r="B11" s="4" t="s">
        <v>268</v>
      </c>
      <c r="C11" s="3" t="s">
        <v>269</v>
      </c>
      <c r="D11" s="10" t="n">
        <f aca="false">COUNTIF(Raw_Data!I3:I52,"&gt;30")</f>
        <v>10</v>
      </c>
      <c r="E11" s="20" t="n">
        <f aca="false">D11</f>
        <v>10</v>
      </c>
      <c r="F11" s="3" t="s">
        <v>270</v>
      </c>
      <c r="G11" s="4" t="s">
        <v>271</v>
      </c>
      <c r="I11" s="3" t="n">
        <v>8</v>
      </c>
      <c r="J11" s="4" t="s">
        <v>43</v>
      </c>
      <c r="K11" s="3" t="n">
        <v>6</v>
      </c>
      <c r="L11" s="19" t="n">
        <v>22</v>
      </c>
    </row>
    <row r="12" customFormat="false" ht="21.75" hidden="false" customHeight="true" outlineLevel="0" collapsed="false">
      <c r="A12" s="6" t="s">
        <v>216</v>
      </c>
      <c r="B12" s="7" t="s">
        <v>272</v>
      </c>
      <c r="C12" s="6" t="s">
        <v>273</v>
      </c>
      <c r="D12" s="12" t="n">
        <f aca="false">SUM(Raw_Data!K3:K52)</f>
        <v>6362</v>
      </c>
      <c r="E12" s="21" t="n">
        <f aca="false">D12</f>
        <v>6362</v>
      </c>
      <c r="F12" s="6" t="s">
        <v>274</v>
      </c>
      <c r="G12" s="7" t="s">
        <v>275</v>
      </c>
      <c r="I12" s="6" t="n">
        <v>9</v>
      </c>
      <c r="J12" s="7" t="s">
        <v>106</v>
      </c>
      <c r="K12" s="6" t="n">
        <v>5</v>
      </c>
      <c r="L12" s="17" t="n">
        <v>35</v>
      </c>
    </row>
    <row r="13" customFormat="false" ht="21.75" hidden="false" customHeight="true" outlineLevel="0" collapsed="false">
      <c r="A13" s="3" t="s">
        <v>221</v>
      </c>
      <c r="B13" s="4" t="s">
        <v>276</v>
      </c>
      <c r="C13" s="3" t="s">
        <v>254</v>
      </c>
      <c r="D13" s="10" t="n">
        <f aca="false">AVERAGEIF(Raw_Data!F3:F52,"Senior",Raw_Data!K3:K52)</f>
        <v>51.7142857142857</v>
      </c>
      <c r="E13" s="22" t="n">
        <f aca="false">D13</f>
        <v>51.7142857142857</v>
      </c>
      <c r="F13" s="3" t="s">
        <v>277</v>
      </c>
      <c r="G13" s="4" t="s">
        <v>278</v>
      </c>
      <c r="I13" s="3" t="n">
        <v>10</v>
      </c>
      <c r="J13" s="4" t="s">
        <v>117</v>
      </c>
      <c r="K13" s="3" t="n">
        <v>4</v>
      </c>
      <c r="L13" s="19" t="n">
        <v>15</v>
      </c>
    </row>
    <row r="14" customFormat="false" ht="21.75" hidden="false" customHeight="true" outlineLevel="0" collapsed="false">
      <c r="A14" s="6" t="s">
        <v>224</v>
      </c>
      <c r="B14" s="7" t="s">
        <v>279</v>
      </c>
      <c r="C14" s="6" t="s">
        <v>280</v>
      </c>
      <c r="D14" s="12" t="n">
        <f aca="false">SUMIF(Raw_Data!E3:E52,"Full-Time",Raw_Data!K3:K52)</f>
        <v>6272</v>
      </c>
      <c r="E14" s="21" t="n">
        <f aca="false">D14</f>
        <v>6272</v>
      </c>
      <c r="F14" s="6" t="s">
        <v>274</v>
      </c>
      <c r="G14" s="7" t="s">
        <v>281</v>
      </c>
    </row>
    <row r="15" customFormat="false" ht="21.75" hidden="false" customHeight="true" outlineLevel="0" collapsed="false">
      <c r="A15" s="3" t="s">
        <v>226</v>
      </c>
      <c r="B15" s="4" t="s">
        <v>282</v>
      </c>
      <c r="C15" s="3" t="s">
        <v>254</v>
      </c>
      <c r="D15" s="10" t="n">
        <f aca="false">AVERAGEIF(Raw_Data!D3:D52,"Bangalore",Raw_Data!I3:I52)</f>
        <v>25.7058823529412</v>
      </c>
      <c r="E15" s="18" t="n">
        <f aca="false">D15</f>
        <v>25.7058823529412</v>
      </c>
      <c r="F15" s="3" t="s">
        <v>251</v>
      </c>
      <c r="G15" s="4" t="s">
        <v>283</v>
      </c>
    </row>
    <row r="16" customFormat="false" ht="21.75" hidden="false" customHeight="true" outlineLevel="0" collapsed="false">
      <c r="A16" s="6" t="s">
        <v>229</v>
      </c>
      <c r="B16" s="7" t="s">
        <v>284</v>
      </c>
      <c r="C16" s="6" t="s">
        <v>285</v>
      </c>
      <c r="D16" s="12" t="n">
        <f aca="false">VLOOKUP("AI Engineer",Raw_Data!B3:I52,8,0)</f>
        <v>45</v>
      </c>
      <c r="E16" s="16" t="n">
        <f aca="false">D16</f>
        <v>45</v>
      </c>
      <c r="F16" s="6" t="s">
        <v>251</v>
      </c>
      <c r="G16" s="7" t="s">
        <v>286</v>
      </c>
    </row>
    <row r="17" customFormat="false" ht="21.75" hidden="false" customHeight="true" outlineLevel="0" collapsed="false">
      <c r="A17" s="3" t="s">
        <v>232</v>
      </c>
      <c r="B17" s="4" t="s">
        <v>230</v>
      </c>
      <c r="C17" s="3" t="s">
        <v>250</v>
      </c>
      <c r="D17" s="10" t="n">
        <f aca="false">AVERAGE(Raw_Data!L3:L52)</f>
        <v>4.246</v>
      </c>
      <c r="E17" s="18" t="n">
        <f aca="false">D17</f>
        <v>4.246</v>
      </c>
      <c r="F17" s="3" t="s">
        <v>251</v>
      </c>
      <c r="G17" s="4" t="s">
        <v>287</v>
      </c>
    </row>
    <row r="18" customFormat="false" ht="21.75" hidden="false" customHeight="true" outlineLevel="0" collapsed="false">
      <c r="A18" s="6" t="s">
        <v>235</v>
      </c>
      <c r="B18" s="7" t="s">
        <v>288</v>
      </c>
      <c r="C18" s="6" t="s">
        <v>269</v>
      </c>
      <c r="D18" s="12" t="n">
        <f aca="false">COUNTIF(Raw_Data!G3:G52,"Python")</f>
        <v>9</v>
      </c>
      <c r="E18" s="23" t="n">
        <f aca="false">D18</f>
        <v>9</v>
      </c>
      <c r="F18" s="6" t="s">
        <v>270</v>
      </c>
      <c r="G18" s="7" t="s">
        <v>289</v>
      </c>
    </row>
  </sheetData>
  <mergeCells count="2">
    <mergeCell ref="A1:G1"/>
    <mergeCell ref="I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0572"/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3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3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1" min="11" style="0" width="14"/>
  </cols>
  <sheetData>
    <row r="1" customFormat="false" ht="15" hidden="false" customHeight="true" outlineLevel="0" collapsed="false">
      <c r="A1" s="24" t="s">
        <v>290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5" hidden="false" customHeight="true" outlineLevel="0" collapsed="false">
      <c r="A2" s="25" t="s">
        <v>291</v>
      </c>
      <c r="B2" s="25"/>
      <c r="C2" s="25"/>
      <c r="E2" s="26" t="s">
        <v>292</v>
      </c>
      <c r="F2" s="26"/>
      <c r="G2" s="26"/>
      <c r="I2" s="27" t="s">
        <v>293</v>
      </c>
      <c r="J2" s="27"/>
      <c r="K2" s="27"/>
    </row>
    <row r="3" customFormat="false" ht="23.85" hidden="false" customHeight="false" outlineLevel="0" collapsed="false">
      <c r="A3" s="2" t="s">
        <v>6</v>
      </c>
      <c r="B3" s="2" t="s">
        <v>294</v>
      </c>
      <c r="C3" s="2" t="s">
        <v>295</v>
      </c>
      <c r="E3" s="2" t="s">
        <v>2</v>
      </c>
      <c r="F3" s="2" t="s">
        <v>294</v>
      </c>
      <c r="G3" s="2" t="s">
        <v>296</v>
      </c>
      <c r="I3" s="2" t="s">
        <v>4</v>
      </c>
      <c r="J3" s="2" t="s">
        <v>247</v>
      </c>
      <c r="K3" s="2" t="s">
        <v>248</v>
      </c>
    </row>
    <row r="4" customFormat="false" ht="15" hidden="false" customHeight="false" outlineLevel="0" collapsed="false">
      <c r="A4" s="6" t="s">
        <v>32</v>
      </c>
      <c r="B4" s="28" t="n">
        <v>31.5</v>
      </c>
      <c r="C4" s="6" t="n">
        <v>22</v>
      </c>
      <c r="E4" s="7" t="s">
        <v>297</v>
      </c>
      <c r="F4" s="28" t="n">
        <v>48</v>
      </c>
      <c r="G4" s="6" t="n">
        <v>3</v>
      </c>
      <c r="I4" s="7" t="s">
        <v>18</v>
      </c>
      <c r="J4" s="6" t="n">
        <v>18</v>
      </c>
      <c r="K4" s="28" t="n">
        <v>25.4</v>
      </c>
    </row>
    <row r="5" customFormat="false" ht="15" hidden="false" customHeight="false" outlineLevel="0" collapsed="false">
      <c r="A5" s="3" t="s">
        <v>20</v>
      </c>
      <c r="B5" s="29" t="n">
        <v>16.2</v>
      </c>
      <c r="C5" s="3" t="n">
        <v>22</v>
      </c>
      <c r="E5" s="4" t="s">
        <v>45</v>
      </c>
      <c r="F5" s="29" t="n">
        <v>29.3</v>
      </c>
      <c r="G5" s="3" t="n">
        <v>4</v>
      </c>
      <c r="I5" s="4" t="s">
        <v>26</v>
      </c>
      <c r="J5" s="3" t="n">
        <v>8</v>
      </c>
      <c r="K5" s="29" t="n">
        <v>18.2</v>
      </c>
    </row>
    <row r="6" customFormat="false" ht="15" hidden="false" customHeight="false" outlineLevel="0" collapsed="false">
      <c r="A6" s="6" t="s">
        <v>74</v>
      </c>
      <c r="B6" s="28" t="n">
        <v>6.5</v>
      </c>
      <c r="C6" s="6" t="n">
        <v>6</v>
      </c>
      <c r="E6" s="7" t="s">
        <v>94</v>
      </c>
      <c r="F6" s="28" t="n">
        <v>42</v>
      </c>
      <c r="G6" s="6" t="n">
        <v>2</v>
      </c>
      <c r="I6" s="7" t="s">
        <v>298</v>
      </c>
      <c r="J6" s="6" t="n">
        <v>8</v>
      </c>
      <c r="K6" s="28" t="n">
        <v>14.6</v>
      </c>
    </row>
    <row r="7" customFormat="false" ht="15" hidden="false" customHeight="false" outlineLevel="0" collapsed="false">
      <c r="E7" s="4" t="s">
        <v>29</v>
      </c>
      <c r="F7" s="29" t="n">
        <v>32</v>
      </c>
      <c r="G7" s="3" t="n">
        <v>5</v>
      </c>
      <c r="I7" s="4" t="s">
        <v>50</v>
      </c>
      <c r="J7" s="3" t="n">
        <v>8</v>
      </c>
      <c r="K7" s="29" t="n">
        <v>18.8</v>
      </c>
    </row>
    <row r="8" customFormat="false" ht="15" hidden="false" customHeight="false" outlineLevel="0" collapsed="false">
      <c r="E8" s="7" t="s">
        <v>86</v>
      </c>
      <c r="F8" s="28" t="n">
        <v>34</v>
      </c>
      <c r="G8" s="6" t="n">
        <v>3</v>
      </c>
      <c r="I8" s="7" t="s">
        <v>31</v>
      </c>
      <c r="J8" s="6" t="n">
        <v>6</v>
      </c>
      <c r="K8" s="28" t="n">
        <v>17</v>
      </c>
    </row>
    <row r="9" customFormat="false" ht="15" hidden="false" customHeight="false" outlineLevel="0" collapsed="false">
      <c r="E9" s="4" t="s">
        <v>69</v>
      </c>
      <c r="F9" s="29" t="n">
        <v>33.5</v>
      </c>
      <c r="G9" s="3" t="n">
        <v>3</v>
      </c>
      <c r="I9" s="4" t="s">
        <v>42</v>
      </c>
      <c r="J9" s="3" t="n">
        <v>5</v>
      </c>
      <c r="K9" s="29" t="n">
        <v>11</v>
      </c>
    </row>
    <row r="10" customFormat="false" ht="15" hidden="false" customHeight="false" outlineLevel="0" collapsed="false">
      <c r="E10" s="7" t="s">
        <v>40</v>
      </c>
      <c r="F10" s="28" t="n">
        <v>22.7</v>
      </c>
      <c r="G10" s="6" t="n">
        <v>3</v>
      </c>
      <c r="I10" s="7" t="s">
        <v>101</v>
      </c>
      <c r="J10" s="6" t="n">
        <v>1</v>
      </c>
      <c r="K10" s="28" t="n">
        <v>7</v>
      </c>
    </row>
    <row r="11" customFormat="false" ht="15" hidden="false" customHeight="false" outlineLevel="0" collapsed="false">
      <c r="E11" s="4" t="s">
        <v>16</v>
      </c>
      <c r="F11" s="29" t="n">
        <v>10.5</v>
      </c>
      <c r="G11" s="3" t="n">
        <v>8</v>
      </c>
      <c r="I11" s="4" t="s">
        <v>119</v>
      </c>
      <c r="J11" s="3" t="n">
        <v>1</v>
      </c>
      <c r="K11" s="29" t="n">
        <v>8</v>
      </c>
    </row>
    <row r="12" customFormat="false" ht="15" hidden="false" customHeight="false" outlineLevel="0" collapsed="false">
      <c r="E12" s="7" t="s">
        <v>58</v>
      </c>
      <c r="F12" s="28" t="n">
        <v>15</v>
      </c>
      <c r="G12" s="6" t="n">
        <v>4</v>
      </c>
    </row>
    <row r="13" customFormat="false" ht="15" hidden="false" customHeight="false" outlineLevel="0" collapsed="false">
      <c r="E13" s="4" t="s">
        <v>73</v>
      </c>
      <c r="F13" s="29" t="n">
        <v>5.7</v>
      </c>
      <c r="G13" s="3" t="n">
        <v>3</v>
      </c>
    </row>
  </sheetData>
  <mergeCells count="4">
    <mergeCell ref="A1:M1"/>
    <mergeCell ref="A2:C2"/>
    <mergeCell ref="E2:G2"/>
    <mergeCell ref="I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N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30" t="s">
        <v>299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U4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11"/>
  </cols>
  <sheetData>
    <row r="1" customFormat="false" ht="48" hidden="false" customHeight="true" outlineLevel="0" collapsed="false">
      <c r="A1" s="31" t="s">
        <v>300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customFormat="false" ht="21.75" hidden="false" customHeight="true" outlineLevel="0" collapsed="false">
      <c r="A2" s="32" t="s">
        <v>301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3" customFormat="false" ht="6" hidden="false" customHeight="true" outlineLevel="0" collapsed="false"/>
    <row r="4" customFormat="false" ht="64.5" hidden="false" customHeight="true" outlineLevel="0" collapsed="false">
      <c r="A4" s="33" t="s">
        <v>302</v>
      </c>
      <c r="B4" s="33"/>
      <c r="C4" s="33"/>
      <c r="D4" s="34" t="s">
        <v>303</v>
      </c>
      <c r="E4" s="34"/>
      <c r="F4" s="34"/>
      <c r="G4" s="35" t="s">
        <v>304</v>
      </c>
      <c r="H4" s="35"/>
      <c r="I4" s="35"/>
      <c r="J4" s="36" t="s">
        <v>305</v>
      </c>
      <c r="K4" s="36"/>
      <c r="L4" s="36"/>
      <c r="M4" s="37" t="s">
        <v>306</v>
      </c>
      <c r="N4" s="37"/>
      <c r="O4" s="37"/>
      <c r="P4" s="38" t="s">
        <v>307</v>
      </c>
      <c r="Q4" s="38"/>
      <c r="R4" s="38"/>
      <c r="S4" s="39" t="s">
        <v>308</v>
      </c>
      <c r="T4" s="39"/>
      <c r="U4" s="39"/>
    </row>
    <row r="5" customFormat="false" ht="6" hidden="false" customHeight="true" outlineLevel="0" collapsed="false"/>
    <row r="6" customFormat="false" ht="24" hidden="false" customHeight="true" outlineLevel="0" collapsed="false">
      <c r="A6" s="40" t="s">
        <v>309</v>
      </c>
      <c r="B6" s="40"/>
      <c r="C6" s="40"/>
      <c r="D6" s="40"/>
      <c r="E6" s="40"/>
      <c r="F6" s="40"/>
      <c r="G6" s="40"/>
      <c r="I6" s="41" t="s">
        <v>310</v>
      </c>
      <c r="J6" s="41"/>
      <c r="K6" s="41"/>
      <c r="L6" s="41"/>
      <c r="M6" s="41"/>
      <c r="N6" s="41"/>
    </row>
    <row r="7" customFormat="false" ht="21.75" hidden="false" customHeight="true" outlineLevel="0" collapsed="false">
      <c r="A7" s="2" t="s">
        <v>6</v>
      </c>
      <c r="B7" s="2" t="s">
        <v>295</v>
      </c>
      <c r="C7" s="2" t="s">
        <v>311</v>
      </c>
      <c r="D7" s="2" t="s">
        <v>312</v>
      </c>
      <c r="E7" s="2" t="s">
        <v>313</v>
      </c>
      <c r="F7" s="2" t="s">
        <v>12</v>
      </c>
      <c r="G7" s="2" t="s">
        <v>14</v>
      </c>
      <c r="I7" s="2" t="s">
        <v>4</v>
      </c>
      <c r="J7" s="2" t="s">
        <v>247</v>
      </c>
      <c r="K7" s="2" t="s">
        <v>314</v>
      </c>
      <c r="L7" s="2" t="s">
        <v>315</v>
      </c>
      <c r="M7" s="2" t="s">
        <v>316</v>
      </c>
      <c r="N7" s="2" t="s">
        <v>317</v>
      </c>
    </row>
    <row r="8" customFormat="false" ht="21.75" hidden="false" customHeight="true" outlineLevel="0" collapsed="false">
      <c r="A8" s="42" t="s">
        <v>32</v>
      </c>
      <c r="B8" s="43" t="n">
        <v>22</v>
      </c>
      <c r="C8" s="44" t="s">
        <v>318</v>
      </c>
      <c r="D8" s="43" t="s">
        <v>319</v>
      </c>
      <c r="E8" s="43" t="s">
        <v>320</v>
      </c>
      <c r="F8" s="43" t="s">
        <v>321</v>
      </c>
      <c r="G8" s="43" t="s">
        <v>322</v>
      </c>
      <c r="I8" s="42" t="s">
        <v>323</v>
      </c>
      <c r="J8" s="43" t="n">
        <v>18</v>
      </c>
      <c r="K8" s="43" t="s">
        <v>324</v>
      </c>
      <c r="L8" s="43" t="s">
        <v>66</v>
      </c>
      <c r="M8" s="43" t="s">
        <v>325</v>
      </c>
      <c r="N8" s="43" t="s">
        <v>326</v>
      </c>
    </row>
    <row r="9" customFormat="false" ht="21.75" hidden="false" customHeight="true" outlineLevel="0" collapsed="false">
      <c r="A9" s="45" t="s">
        <v>20</v>
      </c>
      <c r="B9" s="46" t="n">
        <v>22</v>
      </c>
      <c r="C9" s="47" t="s">
        <v>327</v>
      </c>
      <c r="D9" s="46" t="s">
        <v>328</v>
      </c>
      <c r="E9" s="46" t="s">
        <v>329</v>
      </c>
      <c r="F9" s="46" t="s">
        <v>330</v>
      </c>
      <c r="G9" s="46" t="s">
        <v>331</v>
      </c>
      <c r="I9" s="48" t="s">
        <v>332</v>
      </c>
      <c r="J9" s="3" t="n">
        <v>8</v>
      </c>
      <c r="K9" s="3" t="s">
        <v>333</v>
      </c>
      <c r="L9" s="3" t="s">
        <v>334</v>
      </c>
      <c r="M9" s="3" t="s">
        <v>335</v>
      </c>
      <c r="N9" s="3" t="s">
        <v>336</v>
      </c>
    </row>
    <row r="10" customFormat="false" ht="21.75" hidden="false" customHeight="true" outlineLevel="0" collapsed="false">
      <c r="A10" s="49" t="s">
        <v>74</v>
      </c>
      <c r="B10" s="50" t="n">
        <v>6</v>
      </c>
      <c r="C10" s="51" t="s">
        <v>337</v>
      </c>
      <c r="D10" s="50" t="s">
        <v>338</v>
      </c>
      <c r="E10" s="50" t="s">
        <v>339</v>
      </c>
      <c r="F10" s="50" t="s">
        <v>340</v>
      </c>
      <c r="G10" s="50" t="s">
        <v>341</v>
      </c>
      <c r="I10" s="42" t="s">
        <v>342</v>
      </c>
      <c r="J10" s="43" t="n">
        <v>8</v>
      </c>
      <c r="K10" s="43" t="s">
        <v>343</v>
      </c>
      <c r="L10" s="43" t="s">
        <v>24</v>
      </c>
      <c r="M10" s="43" t="s">
        <v>335</v>
      </c>
      <c r="N10" s="43" t="s">
        <v>344</v>
      </c>
    </row>
    <row r="11" customFormat="false" ht="21.75" hidden="false" customHeight="true" outlineLevel="0" collapsed="false">
      <c r="I11" s="48" t="s">
        <v>345</v>
      </c>
      <c r="J11" s="3" t="n">
        <v>8</v>
      </c>
      <c r="K11" s="3" t="s">
        <v>346</v>
      </c>
      <c r="L11" s="3" t="s">
        <v>86</v>
      </c>
      <c r="M11" s="3" t="s">
        <v>335</v>
      </c>
      <c r="N11" s="3" t="s">
        <v>344</v>
      </c>
    </row>
    <row r="12" customFormat="false" ht="21.75" hidden="false" customHeight="true" outlineLevel="0" collapsed="false">
      <c r="I12" s="42" t="s">
        <v>347</v>
      </c>
      <c r="J12" s="43" t="n">
        <v>6</v>
      </c>
      <c r="K12" s="43" t="s">
        <v>348</v>
      </c>
      <c r="L12" s="43" t="s">
        <v>349</v>
      </c>
      <c r="M12" s="43" t="s">
        <v>350</v>
      </c>
      <c r="N12" s="43" t="s">
        <v>351</v>
      </c>
    </row>
    <row r="13" customFormat="false" ht="24" hidden="false" customHeight="true" outlineLevel="0" collapsed="false">
      <c r="A13" s="52" t="s">
        <v>352</v>
      </c>
      <c r="B13" s="52"/>
      <c r="C13" s="52"/>
      <c r="D13" s="52"/>
      <c r="E13" s="52"/>
      <c r="F13" s="52"/>
      <c r="G13" s="52"/>
      <c r="I13" s="53" t="s">
        <v>353</v>
      </c>
      <c r="J13" s="53"/>
      <c r="K13" s="53"/>
      <c r="L13" s="53"/>
      <c r="M13" s="53"/>
      <c r="N13" s="53"/>
    </row>
    <row r="14" customFormat="false" ht="21.75" hidden="false" customHeight="true" outlineLevel="0" collapsed="false">
      <c r="A14" s="2" t="s">
        <v>184</v>
      </c>
      <c r="B14" s="2" t="s">
        <v>246</v>
      </c>
      <c r="C14" s="2" t="s">
        <v>247</v>
      </c>
      <c r="D14" s="2" t="s">
        <v>311</v>
      </c>
      <c r="E14" s="2" t="s">
        <v>354</v>
      </c>
      <c r="F14" s="2" t="s">
        <v>355</v>
      </c>
      <c r="G14" s="2" t="s">
        <v>356</v>
      </c>
      <c r="I14" s="2" t="s">
        <v>357</v>
      </c>
      <c r="J14" s="2" t="s">
        <v>314</v>
      </c>
      <c r="K14" s="2" t="s">
        <v>295</v>
      </c>
      <c r="L14" s="2" t="s">
        <v>358</v>
      </c>
      <c r="M14" s="2" t="s">
        <v>14</v>
      </c>
      <c r="N14" s="2" t="s">
        <v>354</v>
      </c>
    </row>
    <row r="15" customFormat="false" ht="21.75" hidden="false" customHeight="true" outlineLevel="0" collapsed="false">
      <c r="A15" s="3" t="n">
        <v>1</v>
      </c>
      <c r="B15" s="48" t="s">
        <v>21</v>
      </c>
      <c r="C15" s="3" t="n">
        <v>18</v>
      </c>
      <c r="D15" s="3" t="s">
        <v>359</v>
      </c>
      <c r="E15" s="3" t="s">
        <v>360</v>
      </c>
      <c r="F15" s="3" t="s">
        <v>361</v>
      </c>
      <c r="G15" s="3" t="s">
        <v>362</v>
      </c>
      <c r="I15" s="48" t="s">
        <v>363</v>
      </c>
      <c r="J15" s="3" t="s">
        <v>364</v>
      </c>
      <c r="K15" s="3" t="n">
        <v>8</v>
      </c>
      <c r="L15" s="3" t="s">
        <v>365</v>
      </c>
      <c r="M15" s="3" t="s">
        <v>322</v>
      </c>
      <c r="N15" s="3" t="s">
        <v>234</v>
      </c>
    </row>
    <row r="16" customFormat="false" ht="21.75" hidden="false" customHeight="true" outlineLevel="0" collapsed="false">
      <c r="A16" s="6" t="n">
        <v>2</v>
      </c>
      <c r="B16" s="54" t="s">
        <v>27</v>
      </c>
      <c r="C16" s="6" t="n">
        <v>15</v>
      </c>
      <c r="D16" s="6" t="s">
        <v>366</v>
      </c>
      <c r="E16" s="6" t="s">
        <v>367</v>
      </c>
      <c r="F16" s="6" t="s">
        <v>368</v>
      </c>
      <c r="G16" s="6" t="s">
        <v>369</v>
      </c>
      <c r="I16" s="54" t="s">
        <v>45</v>
      </c>
      <c r="J16" s="6" t="s">
        <v>370</v>
      </c>
      <c r="K16" s="6" t="n">
        <v>4</v>
      </c>
      <c r="L16" s="6" t="s">
        <v>371</v>
      </c>
      <c r="M16" s="6" t="s">
        <v>322</v>
      </c>
      <c r="N16" s="6" t="s">
        <v>372</v>
      </c>
    </row>
    <row r="17" customFormat="false" ht="21.75" hidden="false" customHeight="true" outlineLevel="0" collapsed="false">
      <c r="A17" s="3" t="n">
        <v>3</v>
      </c>
      <c r="B17" s="48" t="s">
        <v>38</v>
      </c>
      <c r="C17" s="3" t="n">
        <v>9</v>
      </c>
      <c r="D17" s="3" t="s">
        <v>319</v>
      </c>
      <c r="E17" s="3" t="s">
        <v>360</v>
      </c>
      <c r="F17" s="3" t="s">
        <v>373</v>
      </c>
      <c r="G17" s="3" t="s">
        <v>374</v>
      </c>
      <c r="I17" s="48" t="s">
        <v>94</v>
      </c>
      <c r="J17" s="3" t="s">
        <v>375</v>
      </c>
      <c r="K17" s="3" t="n">
        <v>2</v>
      </c>
      <c r="L17" s="3" t="s">
        <v>365</v>
      </c>
      <c r="M17" s="3" t="s">
        <v>322</v>
      </c>
      <c r="N17" s="3" t="s">
        <v>234</v>
      </c>
    </row>
    <row r="18" customFormat="false" ht="21.75" hidden="false" customHeight="true" outlineLevel="0" collapsed="false">
      <c r="A18" s="6" t="n">
        <v>4</v>
      </c>
      <c r="B18" s="54" t="s">
        <v>92</v>
      </c>
      <c r="C18" s="6" t="n">
        <v>10</v>
      </c>
      <c r="D18" s="6" t="s">
        <v>376</v>
      </c>
      <c r="E18" s="6" t="s">
        <v>367</v>
      </c>
      <c r="F18" s="6" t="s">
        <v>377</v>
      </c>
      <c r="G18" s="6" t="s">
        <v>378</v>
      </c>
      <c r="I18" s="54" t="s">
        <v>69</v>
      </c>
      <c r="J18" s="6" t="s">
        <v>379</v>
      </c>
      <c r="K18" s="6" t="n">
        <v>3</v>
      </c>
      <c r="L18" s="6" t="s">
        <v>365</v>
      </c>
      <c r="M18" s="6" t="s">
        <v>331</v>
      </c>
      <c r="N18" s="6" t="s">
        <v>372</v>
      </c>
    </row>
    <row r="19" customFormat="false" ht="21.75" hidden="false" customHeight="true" outlineLevel="0" collapsed="false">
      <c r="A19" s="3" t="n">
        <v>5</v>
      </c>
      <c r="B19" s="48" t="s">
        <v>51</v>
      </c>
      <c r="C19" s="3" t="n">
        <v>8</v>
      </c>
      <c r="D19" s="3" t="s">
        <v>380</v>
      </c>
      <c r="E19" s="3" t="s">
        <v>367</v>
      </c>
      <c r="F19" s="3" t="s">
        <v>381</v>
      </c>
      <c r="G19" s="3" t="s">
        <v>382</v>
      </c>
      <c r="I19" s="48" t="s">
        <v>86</v>
      </c>
      <c r="J19" s="3" t="s">
        <v>383</v>
      </c>
      <c r="K19" s="3" t="n">
        <v>3</v>
      </c>
      <c r="L19" s="3" t="s">
        <v>384</v>
      </c>
      <c r="M19" s="3" t="s">
        <v>331</v>
      </c>
      <c r="N19" s="3" t="s">
        <v>372</v>
      </c>
    </row>
    <row r="20" customFormat="false" ht="21.75" hidden="false" customHeight="true" outlineLevel="0" collapsed="false">
      <c r="A20" s="6" t="n">
        <v>6</v>
      </c>
      <c r="B20" s="54" t="s">
        <v>71</v>
      </c>
      <c r="C20" s="6" t="n">
        <v>7</v>
      </c>
      <c r="D20" s="6" t="s">
        <v>385</v>
      </c>
      <c r="E20" s="6" t="s">
        <v>386</v>
      </c>
      <c r="F20" s="6" t="s">
        <v>387</v>
      </c>
      <c r="G20" s="6" t="s">
        <v>388</v>
      </c>
      <c r="I20" s="54" t="s">
        <v>40</v>
      </c>
      <c r="J20" s="6" t="s">
        <v>389</v>
      </c>
      <c r="K20" s="6" t="n">
        <v>3</v>
      </c>
      <c r="L20" s="6" t="s">
        <v>384</v>
      </c>
      <c r="M20" s="6" t="s">
        <v>331</v>
      </c>
      <c r="N20" s="6" t="s">
        <v>390</v>
      </c>
    </row>
    <row r="21" customFormat="false" ht="21.75" hidden="false" customHeight="true" outlineLevel="0" collapsed="false">
      <c r="A21" s="3" t="n">
        <v>7</v>
      </c>
      <c r="B21" s="48" t="s">
        <v>106</v>
      </c>
      <c r="C21" s="3" t="n">
        <v>5</v>
      </c>
      <c r="D21" s="3" t="s">
        <v>391</v>
      </c>
      <c r="E21" s="3" t="s">
        <v>360</v>
      </c>
      <c r="F21" s="3" t="s">
        <v>392</v>
      </c>
      <c r="G21" s="3" t="s">
        <v>393</v>
      </c>
      <c r="I21" s="48" t="s">
        <v>16</v>
      </c>
      <c r="J21" s="3" t="s">
        <v>394</v>
      </c>
      <c r="K21" s="3" t="n">
        <v>8</v>
      </c>
      <c r="L21" s="3" t="s">
        <v>395</v>
      </c>
      <c r="M21" s="3" t="s">
        <v>341</v>
      </c>
      <c r="N21" s="3" t="s">
        <v>390</v>
      </c>
    </row>
    <row r="22" customFormat="false" ht="21.75" hidden="false" customHeight="true" outlineLevel="0" collapsed="false">
      <c r="I22" s="54" t="s">
        <v>73</v>
      </c>
      <c r="J22" s="6" t="s">
        <v>396</v>
      </c>
      <c r="K22" s="6" t="n">
        <v>3</v>
      </c>
      <c r="L22" s="6" t="s">
        <v>395</v>
      </c>
      <c r="M22" s="6" t="s">
        <v>341</v>
      </c>
      <c r="N22" s="6" t="s">
        <v>397</v>
      </c>
    </row>
    <row r="23" customFormat="false" ht="6" hidden="false" customHeight="true" outlineLevel="0" collapsed="false"/>
    <row r="24" customFormat="false" ht="25.5" hidden="false" customHeight="true" outlineLevel="0" collapsed="false">
      <c r="A24" s="55" t="s">
        <v>398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</row>
    <row r="25" customFormat="false" ht="30" hidden="false" customHeight="true" outlineLevel="0" collapsed="false">
      <c r="A25" s="56" t="s">
        <v>399</v>
      </c>
      <c r="B25" s="56"/>
      <c r="C25" s="56"/>
      <c r="D25" s="56"/>
      <c r="E25" s="57" t="s">
        <v>400</v>
      </c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</row>
    <row r="26" customFormat="false" ht="30" hidden="false" customHeight="true" outlineLevel="0" collapsed="false">
      <c r="A26" s="58" t="s">
        <v>401</v>
      </c>
      <c r="B26" s="58"/>
      <c r="C26" s="58"/>
      <c r="D26" s="58"/>
      <c r="E26" s="59" t="s">
        <v>402</v>
      </c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</row>
    <row r="27" customFormat="false" ht="30" hidden="false" customHeight="true" outlineLevel="0" collapsed="false">
      <c r="A27" s="60" t="s">
        <v>403</v>
      </c>
      <c r="B27" s="60"/>
      <c r="C27" s="60"/>
      <c r="D27" s="60"/>
      <c r="E27" s="61" t="s">
        <v>404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</row>
    <row r="28" customFormat="false" ht="30" hidden="false" customHeight="true" outlineLevel="0" collapsed="false">
      <c r="A28" s="56" t="s">
        <v>405</v>
      </c>
      <c r="B28" s="56"/>
      <c r="C28" s="56"/>
      <c r="D28" s="56"/>
      <c r="E28" s="57" t="s">
        <v>406</v>
      </c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</row>
    <row r="29" customFormat="false" ht="30" hidden="false" customHeight="true" outlineLevel="0" collapsed="false">
      <c r="A29" s="58" t="s">
        <v>407</v>
      </c>
      <c r="B29" s="58"/>
      <c r="C29" s="58"/>
      <c r="D29" s="58"/>
      <c r="E29" s="59" t="s">
        <v>408</v>
      </c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</row>
    <row r="30" customFormat="false" ht="30" hidden="false" customHeight="true" outlineLevel="0" collapsed="false">
      <c r="A30" s="60" t="s">
        <v>409</v>
      </c>
      <c r="B30" s="60"/>
      <c r="C30" s="60"/>
      <c r="D30" s="60"/>
      <c r="E30" s="61" t="s">
        <v>410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</row>
    <row r="31" customFormat="false" ht="19.5" hidden="false" customHeight="true" outlineLevel="0" collapsed="false"/>
    <row r="32" customFormat="false" ht="6" hidden="false" customHeight="true" outlineLevel="0" collapsed="false"/>
    <row r="33" customFormat="false" ht="25.5" hidden="false" customHeight="true" outlineLevel="0" collapsed="false">
      <c r="A33" s="62" t="s">
        <v>411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</row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</sheetData>
  <mergeCells count="27">
    <mergeCell ref="A1:U1"/>
    <mergeCell ref="A2:U2"/>
    <mergeCell ref="A4:C4"/>
    <mergeCell ref="D4:F4"/>
    <mergeCell ref="G4:I4"/>
    <mergeCell ref="J4:L4"/>
    <mergeCell ref="M4:O4"/>
    <mergeCell ref="P4:R4"/>
    <mergeCell ref="S4:U4"/>
    <mergeCell ref="A6:G6"/>
    <mergeCell ref="I6:N6"/>
    <mergeCell ref="A13:G13"/>
    <mergeCell ref="I13:N13"/>
    <mergeCell ref="A24:U24"/>
    <mergeCell ref="A25:D25"/>
    <mergeCell ref="E25:U25"/>
    <mergeCell ref="A26:D26"/>
    <mergeCell ref="E26:U26"/>
    <mergeCell ref="A27:D27"/>
    <mergeCell ref="E27:U27"/>
    <mergeCell ref="A28:D28"/>
    <mergeCell ref="E28:U28"/>
    <mergeCell ref="A29:D29"/>
    <mergeCell ref="E29:U29"/>
    <mergeCell ref="A30:D30"/>
    <mergeCell ref="E30:U30"/>
    <mergeCell ref="A33:U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2026-06-14T08:45:06Z</dcterms:created>
  <dc:creator>openpyxl</dc:creator>
  <dc:description/>
  <dc:language>en-US</dc:language>
  <cp:lastModifiedBy/>
  <dcterms:modified xsi:type="dcterms:W3CDTF">2026-06-14T08:45:12Z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